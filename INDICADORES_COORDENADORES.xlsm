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omercial02\Desktop\AC NOVOS INDICADORES\"/>
    </mc:Choice>
  </mc:AlternateContent>
  <xr:revisionPtr revIDLastSave="0" documentId="13_ncr:1_{8F1C9A30-F060-4486-846B-B3194D184E5A}" xr6:coauthVersionLast="47" xr6:coauthVersionMax="47" xr10:uidLastSave="{00000000-0000-0000-0000-000000000000}"/>
  <bookViews>
    <workbookView xWindow="20370" yWindow="-120" windowWidth="24240" windowHeight="13140" tabRatio="690" activeTab="2" xr2:uid="{D9ED2309-E8AE-4D07-BF0D-3DD086D61A01}"/>
  </bookViews>
  <sheets>
    <sheet name="DADOS" sheetId="1" r:id="rId1"/>
    <sheet name="TBL_COORDENADOR" sheetId="3" r:id="rId2"/>
    <sheet name="DASHBOARD SUPERVISOR" sheetId="5" r:id="rId3"/>
  </sheets>
  <definedNames>
    <definedName name="DESLOC_CLSCADS">OFFSET(TBL_COORDENADOR!$J$4,0,0,COUNTA(TBL_COORDENADOR!$J$4:$J$100))</definedName>
    <definedName name="DESLOC_COB">OFFSET(TBL_COORDENADOR!$E$4,0,0,COUNTA(TBL_COORDENADOR!$E$4:$E$100))</definedName>
    <definedName name="DESLOC_ITENS">OFFSET(TBL_COORDENADOR!$G$4,0,0,COUNTA(TBL_COORDENADOR!$G$4:$G$100))</definedName>
    <definedName name="DESLOC_MARGEM">OFFSET(TBL_COORDENADOR!$H$4,0,0,COUNTA(TBL_COORDENADOR!$H$4:$H$100))</definedName>
    <definedName name="DESLOC_META">OFFSET(TBL_COORDENADOR!$B$4,0,0,COUNTA(TBL_COORDENADOR!$B$4:$B$100))</definedName>
    <definedName name="DESLOC_METACOB">OFFSET(TBL_COORDENADOR!$D$4,0,0,COUNTA(TBL_COORDENADOR!$D$4:$D$100))</definedName>
    <definedName name="DESLOC_MIX">OFFSET(TBL_COORDENADOR!$F$4,0,0,COUNTA(TBL_COORDENADOR!$F$4:$F$100))</definedName>
    <definedName name="DESLOC_PZMEDIO">OFFSET(TBL_COORDENADOR!$I$4,0,0,COUNTA(TBL_COORDENADOR!$I$4:$I$100))</definedName>
    <definedName name="DESLOC_VENDA">OFFSET(TBL_COORDENADOR!$C$4,0,0,COUNTA(TBL_COORDENADOR!$C$4:$C$100))</definedName>
    <definedName name="RCA_CLSCADS">OFFSET(#REF!,0,0,COUNTA(#REF!))</definedName>
    <definedName name="RCA_COB">OFFSET(#REF!,0,0,COUNTA(#REF!))</definedName>
    <definedName name="RCA_ITENS">OFFSET(#REF!,0,0,COUNTA(#REF!))</definedName>
    <definedName name="RCA_MARGEM">OFFSET(#REF!,0,0,COUNTA(#REF!))</definedName>
    <definedName name="RCA_META">OFFSET(#REF!,0,0,COUNTA(#REF!))</definedName>
    <definedName name="RCA_METACOB">OFFSET(#REF!,0,0,COUNTA(#REF!))</definedName>
    <definedName name="RCA_MIX">OFFSET(#REF!,0,0,COUNTA(#REF!))</definedName>
    <definedName name="RCA_PZMEDIO">OFFSET(#REF!,0,0,COUNTA(#REF!))</definedName>
    <definedName name="RCA_VENDA">OFFSET(#REF!,0,0,COUNTA(#REF!))</definedName>
    <definedName name="SegmentaçãodeDados_ANO">#N/A</definedName>
    <definedName name="SegmentaçãodeDados_MES">#N/A</definedName>
    <definedName name="SegmentaçãodeDados_NOME_SV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4" i="3" l="1"/>
  <c r="AL17" i="3" s="1"/>
  <c r="S4" i="3"/>
  <c r="Q4" i="3" l="1"/>
  <c r="N4" i="3"/>
  <c r="O4" i="3"/>
  <c r="R4" i="3"/>
  <c r="M4" i="3"/>
  <c r="P4" i="3"/>
  <c r="T4" i="3"/>
  <c r="L4" i="3"/>
</calcChain>
</file>

<file path=xl/sharedStrings.xml><?xml version="1.0" encoding="utf-8"?>
<sst xmlns="http://schemas.openxmlformats.org/spreadsheetml/2006/main" count="2294" uniqueCount="181">
  <si>
    <t>COD_SV</t>
  </si>
  <si>
    <t>NOME_SV</t>
  </si>
  <si>
    <t>COD_RCA</t>
  </si>
  <si>
    <t>NOME_RCA</t>
  </si>
  <si>
    <t>MES</t>
  </si>
  <si>
    <t>ANO</t>
  </si>
  <si>
    <t>MIX</t>
  </si>
  <si>
    <t>MEDIA_ITENS_POR_PEDIDO</t>
  </si>
  <si>
    <t>META_ATUALIZADA</t>
  </si>
  <si>
    <t>VLDEVOLUCAO</t>
  </si>
  <si>
    <t>RAMOS</t>
  </si>
  <si>
    <t>01</t>
  </si>
  <si>
    <t>2025</t>
  </si>
  <si>
    <t>PEDRO ALISSON</t>
  </si>
  <si>
    <t>JOILSON DE AVIZ</t>
  </si>
  <si>
    <t>EDVALDO TRAVASSOS</t>
  </si>
  <si>
    <t>MARCIO QUADROS</t>
  </si>
  <si>
    <t>02</t>
  </si>
  <si>
    <t>03</t>
  </si>
  <si>
    <t>04</t>
  </si>
  <si>
    <t>Rótulos de Linha</t>
  </si>
  <si>
    <t>Soma de MEDIA_ITENS_POR_PEDIDO</t>
  </si>
  <si>
    <t>GLEIDSON</t>
  </si>
  <si>
    <t>THIAGO</t>
  </si>
  <si>
    <t>PRAZO_MEDIO</t>
  </si>
  <si>
    <t>Média de MIX</t>
  </si>
  <si>
    <t xml:space="preserve"> </t>
  </si>
  <si>
    <t>VENDA_REAL</t>
  </si>
  <si>
    <t>CMV</t>
  </si>
  <si>
    <t>CUSTO_BONIFIC</t>
  </si>
  <si>
    <t>CARLOS WERLY - MT</t>
  </si>
  <si>
    <t>DANILO DOS SANTOS - INATIVO</t>
  </si>
  <si>
    <t>META_VENDA</t>
  </si>
  <si>
    <t>META_POSITIVACAO</t>
  </si>
  <si>
    <t>VENDA_REAL_SUPERV</t>
  </si>
  <si>
    <t>CMV_SUPERV</t>
  </si>
  <si>
    <t>CUSTO_BONIFIC_SUPERV</t>
  </si>
  <si>
    <t>MARGEM_SUPERVISOR</t>
  </si>
  <si>
    <t>QTD_CLIENTES_POSITIVADOS</t>
  </si>
  <si>
    <t>DIAS_UTEIS_MES</t>
  </si>
  <si>
    <t>DIAS_UTEIS_PASSADOS</t>
  </si>
  <si>
    <t>Média de MARGEM_SUPERVISOR</t>
  </si>
  <si>
    <t>JOSE</t>
  </si>
  <si>
    <t>LENIVAL</t>
  </si>
  <si>
    <t>FELIPE</t>
  </si>
  <si>
    <t>LUIZ</t>
  </si>
  <si>
    <t>AILTON</t>
  </si>
  <si>
    <t>NELITON</t>
  </si>
  <si>
    <t>LUCIO</t>
  </si>
  <si>
    <t>MARCIO</t>
  </si>
  <si>
    <t>HENRIQUERSON</t>
  </si>
  <si>
    <t>LUANA</t>
  </si>
  <si>
    <t>EDERLEI</t>
  </si>
  <si>
    <t>FRANCISCA</t>
  </si>
  <si>
    <t>JEAN</t>
  </si>
  <si>
    <t>JORGE</t>
  </si>
  <si>
    <t>MAURO</t>
  </si>
  <si>
    <t>GUTEMBERG</t>
  </si>
  <si>
    <t>KELLY</t>
  </si>
  <si>
    <t>SILVANA</t>
  </si>
  <si>
    <t>JOCINELMA</t>
  </si>
  <si>
    <t>PEDRO</t>
  </si>
  <si>
    <t>MANOEL</t>
  </si>
  <si>
    <t>ROMARIO</t>
  </si>
  <si>
    <t>EVERTON</t>
  </si>
  <si>
    <t>JAQUELINE</t>
  </si>
  <si>
    <t>JOSINILDO</t>
  </si>
  <si>
    <t>AMARO</t>
  </si>
  <si>
    <t>EMANUEL</t>
  </si>
  <si>
    <t>MARCOS</t>
  </si>
  <si>
    <t>MARY</t>
  </si>
  <si>
    <t>SAMUEL</t>
  </si>
  <si>
    <t>ALISON</t>
  </si>
  <si>
    <t>ARIANE</t>
  </si>
  <si>
    <t>EMANOEL</t>
  </si>
  <si>
    <t>REGINALDO</t>
  </si>
  <si>
    <t>J.CRUZ</t>
  </si>
  <si>
    <t>HENRIQUE</t>
  </si>
  <si>
    <t>ADAUTO</t>
  </si>
  <si>
    <t>JANDERSON</t>
  </si>
  <si>
    <t>ADINALVA</t>
  </si>
  <si>
    <t>WENDERSON</t>
  </si>
  <si>
    <t>CARLOS</t>
  </si>
  <si>
    <t>DANILO</t>
  </si>
  <si>
    <t>HERALDO</t>
  </si>
  <si>
    <t>CHRYSTIAN</t>
  </si>
  <si>
    <t>INGRID</t>
  </si>
  <si>
    <t>ARTHUR</t>
  </si>
  <si>
    <t>EDER</t>
  </si>
  <si>
    <t>DHIEGO</t>
  </si>
  <si>
    <t>FABIO</t>
  </si>
  <si>
    <t>ACSA</t>
  </si>
  <si>
    <t>DANIELE</t>
  </si>
  <si>
    <t>BRUNA</t>
  </si>
  <si>
    <t>JAIME</t>
  </si>
  <si>
    <t>MARCIA</t>
  </si>
  <si>
    <t>ANDREZA</t>
  </si>
  <si>
    <t>ALAN</t>
  </si>
  <si>
    <t>RAIMUNDO</t>
  </si>
  <si>
    <t>MADSON</t>
  </si>
  <si>
    <t>ALEXSANDRA</t>
  </si>
  <si>
    <t>JEFFERSON</t>
  </si>
  <si>
    <t>LUAN</t>
  </si>
  <si>
    <t>NAZARENO</t>
  </si>
  <si>
    <t>IZABELA</t>
  </si>
  <si>
    <t>AMANDA</t>
  </si>
  <si>
    <t>BRENO</t>
  </si>
  <si>
    <t>BRUNO</t>
  </si>
  <si>
    <t>RICARDO</t>
  </si>
  <si>
    <t>BRENDA</t>
  </si>
  <si>
    <t>EMILLE</t>
  </si>
  <si>
    <t>KEYLLA</t>
  </si>
  <si>
    <t>RAUL</t>
  </si>
  <si>
    <t>BIANCA</t>
  </si>
  <si>
    <t>VITOR</t>
  </si>
  <si>
    <t>ELRIK</t>
  </si>
  <si>
    <t>CLEYSON</t>
  </si>
  <si>
    <t>WANDERSON</t>
  </si>
  <si>
    <t>JOAO</t>
  </si>
  <si>
    <t>HERNEN</t>
  </si>
  <si>
    <t>NICOLY</t>
  </si>
  <si>
    <t>MAICON</t>
  </si>
  <si>
    <t>DAIZA</t>
  </si>
  <si>
    <t>EDILENE</t>
  </si>
  <si>
    <t>HEDERSON</t>
  </si>
  <si>
    <t>ROSINELIO</t>
  </si>
  <si>
    <t>ALEXANDRE</t>
  </si>
  <si>
    <t>SUELI</t>
  </si>
  <si>
    <t>IZABELLI</t>
  </si>
  <si>
    <t>FRANCIELE</t>
  </si>
  <si>
    <t>ALIDA</t>
  </si>
  <si>
    <t>ERIC</t>
  </si>
  <si>
    <t>GLEYBSON</t>
  </si>
  <si>
    <t>SARA</t>
  </si>
  <si>
    <t>WELLINGTON</t>
  </si>
  <si>
    <t>IVANEI</t>
  </si>
  <si>
    <t>NATANE</t>
  </si>
  <si>
    <t>PRAZO_MEDIO_SUPERVISOR</t>
  </si>
  <si>
    <t>CRISTIELLEN</t>
  </si>
  <si>
    <t>CLEITON</t>
  </si>
  <si>
    <t>JOILSON</t>
  </si>
  <si>
    <t>Média de PRAZO_MEDIO_SUPERVISOR</t>
  </si>
  <si>
    <t>LUCIANO SOUSA</t>
  </si>
  <si>
    <t>THIAGO LEAL</t>
  </si>
  <si>
    <t>EDVALDO</t>
  </si>
  <si>
    <t>GILSON</t>
  </si>
  <si>
    <t>DEUZIANI</t>
  </si>
  <si>
    <t>DENYSON</t>
  </si>
  <si>
    <t>CLAUDINEY</t>
  </si>
  <si>
    <t>JUAM</t>
  </si>
  <si>
    <t>05</t>
  </si>
  <si>
    <t>MARGEM_RCA</t>
  </si>
  <si>
    <t>CLEISON</t>
  </si>
  <si>
    <t>CLAUDIO</t>
  </si>
  <si>
    <t>LEANDRO</t>
  </si>
  <si>
    <t>QTD_CLIENTES_POSITIVADOS_GERAL</t>
  </si>
  <si>
    <t>LUCIANO</t>
  </si>
  <si>
    <t>MARCELO</t>
  </si>
  <si>
    <t>LOURIVAL</t>
  </si>
  <si>
    <t>HENNED</t>
  </si>
  <si>
    <t>EDVAN</t>
  </si>
  <si>
    <t>META_POSITIVAÇÃO_ATUALIZADA</t>
  </si>
  <si>
    <t>META_VENDA_SUPERVISOR</t>
  </si>
  <si>
    <t>META_ATUALIZADA_SUPERVISOR</t>
  </si>
  <si>
    <t>VENDA_REAL_SUPERVISOR</t>
  </si>
  <si>
    <t>META_POSITIVACAO_ATUALIZADA_SUPERVISOR</t>
  </si>
  <si>
    <t>POSITIVACAO_SUPERVISOR</t>
  </si>
  <si>
    <t>META_POSITIVACAO_GERAL_SUPERVISOR</t>
  </si>
  <si>
    <t>JOSIVALBER</t>
  </si>
  <si>
    <t>06</t>
  </si>
  <si>
    <t>JERFENSON</t>
  </si>
  <si>
    <t>AILA</t>
  </si>
  <si>
    <t>CARMEM</t>
  </si>
  <si>
    <t>CLS_CADASTRADOS</t>
  </si>
  <si>
    <t>Soma de CLS_CADASTRADOS</t>
  </si>
  <si>
    <t>Média de QTD_CLIENTES_POSITIVADOS_GERAL</t>
  </si>
  <si>
    <t>Média de META_VENDA_SUPERVISOR</t>
  </si>
  <si>
    <t>Média de VENDA_REAL_SUPERVISOR</t>
  </si>
  <si>
    <t>Média de META_POSITIVACAO_GERAL_SUPERVISOR</t>
  </si>
  <si>
    <t>Média de POSITIVACAO_SUPERVISOR</t>
  </si>
  <si>
    <t>GENILSON 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</si>
</sst>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* #,##0.00_-;\-&quot;R$&quot;* #,##0.00_-;_-&quot;R$&quot;* &quot;-&quot;??_-;_-@_-"/>
    <numFmt numFmtId="164" formatCode="_-&quot;R$&quot;* #,##0_-;\-&quot;R$&quot;* #,##0_-;_-&quot;R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rgb="FF0F0F0F"/>
      <name val="Arial"/>
      <family val="2"/>
    </font>
    <font>
      <sz val="8"/>
      <color rgb="FF000000"/>
      <name val="Tahoma"/>
    </font>
  </fonts>
  <fills count="4">
    <fill>
      <patternFill patternType="none"/>
    </fill>
    <fill>
      <patternFill patternType="gray125"/>
    </fill>
    <fill>
      <patternFill patternType="solid">
        <fgColor rgb="FFF0F0F0"/>
        <bgColor indexed="8"/>
      </patternFill>
    </fill>
    <fill>
      <patternFill patternType="solid">
        <fgColor rgb="FFFFFFFF"/>
        <bgColor indexed="8"/>
      </patternFill>
    </fill>
  </fills>
  <borders count="10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0" borderId="0" xfId="0" applyFont="1"/>
    <xf numFmtId="0" fontId="2" fillId="3" borderId="1" xfId="0" applyFont="1" applyFill="1" applyBorder="1" applyAlignment="1">
      <alignment horizontal="right" vertical="top" wrapText="1"/>
    </xf>
    <xf numFmtId="0" fontId="2" fillId="3" borderId="1" xfId="0" applyFont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right" vertical="top" wrapText="1"/>
    </xf>
    <xf numFmtId="0" fontId="2" fillId="2" borderId="3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right" vertical="top" wrapText="1"/>
    </xf>
    <xf numFmtId="0" fontId="2" fillId="3" borderId="5" xfId="0" applyFont="1" applyFill="1" applyBorder="1" applyAlignment="1">
      <alignment horizontal="right" vertical="top" wrapText="1"/>
    </xf>
    <xf numFmtId="3" fontId="0" fillId="0" borderId="0" xfId="0" applyNumberFormat="1"/>
    <xf numFmtId="1" fontId="0" fillId="0" borderId="0" xfId="0" applyNumberFormat="1"/>
    <xf numFmtId="0" fontId="2" fillId="2" borderId="8" xfId="0" applyFont="1" applyFill="1" applyBorder="1" applyAlignment="1">
      <alignment horizontal="left" vertical="top" wrapText="1"/>
    </xf>
    <xf numFmtId="0" fontId="2" fillId="2" borderId="9" xfId="0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right" vertical="top" wrapText="1"/>
    </xf>
    <xf numFmtId="0" fontId="2" fillId="3" borderId="2" xfId="0" applyFont="1" applyFill="1" applyBorder="1" applyAlignment="1">
      <alignment horizontal="left" vertical="top" wrapText="1"/>
    </xf>
    <xf numFmtId="0" fontId="2" fillId="3" borderId="6" xfId="0" applyFont="1" applyFill="1" applyBorder="1" applyAlignment="1">
      <alignment horizontal="right" vertical="top" wrapText="1"/>
    </xf>
    <xf numFmtId="2" fontId="0" fillId="0" borderId="0" xfId="0" applyNumberFormat="1"/>
    <xf numFmtId="164" fontId="0" fillId="0" borderId="0" xfId="0" applyNumberFormat="1"/>
    <xf numFmtId="0" fontId="0" fillId="0" borderId="0" xfId="0" applyNumberFormat="1"/>
    <xf numFmtId="44" fontId="0" fillId="0" borderId="0" xfId="0" applyNumberFormat="1"/>
    <xf numFmtId="44" fontId="0" fillId="0" borderId="0" xfId="0" applyNumberFormat="1" applyAlignment="1">
      <alignment horizontal="center" vertical="center"/>
    </xf>
  </cellXfs>
  <cellStyles count="1">
    <cellStyle name="Normal" xfId="0" builtinId="0"/>
  </cellStyles>
  <dxfs count="278"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" formatCode="0"/>
    </dxf>
    <dxf>
      <numFmt numFmtId="172" formatCode="0.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72" formatCode="0.0"/>
    </dxf>
    <dxf>
      <numFmt numFmtId="2" formatCode="0.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2" formatCode="0.00"/>
    </dxf>
    <dxf>
      <numFmt numFmtId="171" formatCode="0.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71" formatCode="0.000"/>
    </dxf>
    <dxf>
      <numFmt numFmtId="170" formatCode="0.0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70" formatCode="0.0000"/>
    </dxf>
    <dxf>
      <numFmt numFmtId="169" formatCode="0.00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69" formatCode="0.00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" formatCode="0"/>
    </dxf>
    <dxf>
      <numFmt numFmtId="172" formatCode="0.0"/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72" formatCode="0.0"/>
    </dxf>
    <dxf>
      <numFmt numFmtId="2" formatCode="0.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2" formatCode="0.00"/>
    </dxf>
    <dxf>
      <numFmt numFmtId="171" formatCode="0.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71" formatCode="0.000"/>
    </dxf>
    <dxf>
      <numFmt numFmtId="170" formatCode="0.0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70" formatCode="0.0000"/>
    </dxf>
    <dxf>
      <numFmt numFmtId="169" formatCode="0.00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69" formatCode="0.00000"/>
    </dxf>
    <dxf>
      <numFmt numFmtId="168" formatCode="0.000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68" formatCode="0.000000"/>
    </dxf>
    <dxf>
      <numFmt numFmtId="167" formatCode="0.0000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67" formatCode="0.0000000"/>
    </dxf>
    <dxf>
      <numFmt numFmtId="166" formatCode="0.00000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66" formatCode="0.00000000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34" formatCode="_-&quot;R$&quot;* #,##0.00_-;\-&quot;R$&quot;* #,##0.00_-;_-&quot;R$&quot;* &quot;-&quot;??_-;_-@_-"/>
    </dxf>
    <dxf>
      <numFmt numFmtId="165" formatCode="_-&quot;R$&quot;* #,##0.0_-;\-&quot;R$&quot;* #,##0.0_-;_-&quot;R$&quot;* &quot;-&quot;??_-;_-@_-"/>
    </dxf>
    <dxf>
      <numFmt numFmtId="34" formatCode="_-&quot;R$&quot;* #,##0.00_-;\-&quot;R$&quot;* #,##0.0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165" formatCode="_-&quot;R$&quot;* #,##0.0_-;\-&quot;R$&quot;* #,##0.0_-;_-&quot;R$&quot;* &quot;-&quot;??_-;_-@_-"/>
    </dxf>
    <dxf>
      <numFmt numFmtId="164" formatCode="_-&quot;R$&quot;* #,##0_-;\-&quot;R$&quot;* #,##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164" formatCode="_-&quot;R$&quot;* #,##0_-;\-&quot;R$&quot;* #,##0_-;_-&quot;R$&quot;* &quot;-&quot;??_-;_-@_-"/>
    </dxf>
    <dxf>
      <numFmt numFmtId="3" formatCode="#,##0"/>
    </dxf>
    <dxf>
      <numFmt numFmtId="3" formatCode="#,##0"/>
    </dxf>
    <dxf>
      <numFmt numFmtId="1" formatCode="0"/>
    </dxf>
    <dxf>
      <numFmt numFmtId="2" formatCode="0.00"/>
    </dxf>
    <dxf>
      <numFmt numFmtId="164" formatCode="_-&quot;R$&quot;* #,##0_-;\-&quot;R$&quot;* #,##0_-;_-&quot;R$&quot;* &quot;-&quot;??_-;_-@_-"/>
    </dxf>
    <dxf>
      <numFmt numFmtId="2" formatCode="0.00"/>
    </dxf>
    <dxf>
      <numFmt numFmtId="1" formatCode="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FFFFF"/>
        </patternFill>
      </fill>
      <alignment horizontal="right" vertical="top" textRotation="0" wrapText="1" indent="0" justifyLastLine="0" shrinkToFit="0" readingOrder="0"/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solid">
          <fgColor indexed="8"/>
          <bgColor rgb="FFF0F0F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0A1120"/>
      <color rgb="FFE26714"/>
      <color rgb="FF020306"/>
      <color rgb="FF060A14"/>
      <color rgb="FF0F1A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600" u="sng">
                <a:solidFill>
                  <a:schemeClr val="bg1"/>
                </a:solidFill>
              </a:rPr>
              <a:t>META X COBERTURA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META</c:v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TBL_COORDENADOR!$A$4:$A$20</c:f>
              <c:strCache>
                <c:ptCount val="8"/>
                <c:pt idx="0">
                  <c:v>RAMOS</c:v>
                </c:pt>
                <c:pt idx="1">
                  <c:v>PEDRO ALISSON</c:v>
                </c:pt>
                <c:pt idx="2">
                  <c:v>LUCIANO SOUSA</c:v>
                </c:pt>
                <c:pt idx="3">
                  <c:v>GENILSON SOUZA</c:v>
                </c:pt>
                <c:pt idx="4">
                  <c:v>EDVALDO TRAVASSOS</c:v>
                </c:pt>
                <c:pt idx="5">
                  <c:v>JOILSON DE AVIZ</c:v>
                </c:pt>
                <c:pt idx="6">
                  <c:v>MARCIO QUADROS</c:v>
                </c:pt>
                <c:pt idx="7">
                  <c:v>THIAGO LEAL</c:v>
                </c:pt>
              </c:strCache>
            </c:strRef>
          </c:cat>
          <c:val>
            <c:numRef>
              <c:f>[0]!DESLOC_METACOB</c:f>
              <c:numCache>
                <c:formatCode>0</c:formatCode>
                <c:ptCount val="8"/>
                <c:pt idx="0">
                  <c:v>675</c:v>
                </c:pt>
                <c:pt idx="1">
                  <c:v>584</c:v>
                </c:pt>
                <c:pt idx="2">
                  <c:v>780</c:v>
                </c:pt>
                <c:pt idx="3">
                  <c:v>540</c:v>
                </c:pt>
                <c:pt idx="4">
                  <c:v>423</c:v>
                </c:pt>
                <c:pt idx="5">
                  <c:v>685</c:v>
                </c:pt>
                <c:pt idx="6">
                  <c:v>280</c:v>
                </c:pt>
                <c:pt idx="7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1B-4721-8AF2-AF8EE7A10C38}"/>
            </c:ext>
          </c:extLst>
        </c:ser>
        <c:ser>
          <c:idx val="0"/>
          <c:order val="1"/>
          <c:tx>
            <c:v>COBERTURA</c:v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accent1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TBL_COORDENADOR!$A$4:$A$20</c:f>
              <c:strCache>
                <c:ptCount val="8"/>
                <c:pt idx="0">
                  <c:v>RAMOS</c:v>
                </c:pt>
                <c:pt idx="1">
                  <c:v>PEDRO ALISSON</c:v>
                </c:pt>
                <c:pt idx="2">
                  <c:v>LUCIANO SOUSA</c:v>
                </c:pt>
                <c:pt idx="3">
                  <c:v>GENILSON SOUZA</c:v>
                </c:pt>
                <c:pt idx="4">
                  <c:v>EDVALDO TRAVASSOS</c:v>
                </c:pt>
                <c:pt idx="5">
                  <c:v>JOILSON DE AVIZ</c:v>
                </c:pt>
                <c:pt idx="6">
                  <c:v>MARCIO QUADROS</c:v>
                </c:pt>
                <c:pt idx="7">
                  <c:v>THIAGO LEAL</c:v>
                </c:pt>
              </c:strCache>
            </c:strRef>
          </c:cat>
          <c:val>
            <c:numRef>
              <c:f>[0]!DESLOC_COB</c:f>
              <c:numCache>
                <c:formatCode>0</c:formatCode>
                <c:ptCount val="8"/>
                <c:pt idx="0">
                  <c:v>312</c:v>
                </c:pt>
                <c:pt idx="1">
                  <c:v>299</c:v>
                </c:pt>
                <c:pt idx="2">
                  <c:v>357</c:v>
                </c:pt>
                <c:pt idx="3">
                  <c:v>266</c:v>
                </c:pt>
                <c:pt idx="4">
                  <c:v>192</c:v>
                </c:pt>
                <c:pt idx="5">
                  <c:v>277</c:v>
                </c:pt>
                <c:pt idx="6">
                  <c:v>112</c:v>
                </c:pt>
                <c:pt idx="7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1B-4721-8AF2-AF8EE7A10C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534590032"/>
        <c:axId val="534590512"/>
      </c:barChart>
      <c:catAx>
        <c:axId val="53459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4590512"/>
        <c:crosses val="autoZero"/>
        <c:auto val="1"/>
        <c:lblAlgn val="ctr"/>
        <c:lblOffset val="100"/>
        <c:noMultiLvlLbl val="0"/>
      </c:catAx>
      <c:valAx>
        <c:axId val="534590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3459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u="sng">
                <a:solidFill>
                  <a:schemeClr val="bg1"/>
                </a:solidFill>
              </a:rPr>
              <a:t>META</a:t>
            </a:r>
            <a:r>
              <a:rPr lang="pt-BR" u="sng" baseline="0">
                <a:solidFill>
                  <a:schemeClr val="bg1"/>
                </a:solidFill>
              </a:rPr>
              <a:t> X VENDA</a:t>
            </a:r>
            <a:endParaRPr lang="pt-BR" u="sng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8304441597821082E-2"/>
          <c:y val="8.7565058953770564E-2"/>
          <c:w val="0.90856965796724576"/>
          <c:h val="0.67479694808235424"/>
        </c:manualLayout>
      </c:layout>
      <c:barChart>
        <c:barDir val="col"/>
        <c:grouping val="clustered"/>
        <c:varyColors val="0"/>
        <c:ser>
          <c:idx val="1"/>
          <c:order val="0"/>
          <c:tx>
            <c:v>META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TBL_COORDENADOR!$A$4:$A$20</c:f>
              <c:strCache>
                <c:ptCount val="8"/>
                <c:pt idx="0">
                  <c:v>RAMOS</c:v>
                </c:pt>
                <c:pt idx="1">
                  <c:v>PEDRO ALISSON</c:v>
                </c:pt>
                <c:pt idx="2">
                  <c:v>LUCIANO SOUSA</c:v>
                </c:pt>
                <c:pt idx="3">
                  <c:v>GENILSON SOUZA</c:v>
                </c:pt>
                <c:pt idx="4">
                  <c:v>EDVALDO TRAVASSOS</c:v>
                </c:pt>
                <c:pt idx="5">
                  <c:v>JOILSON DE AVIZ</c:v>
                </c:pt>
                <c:pt idx="6">
                  <c:v>MARCIO QUADROS</c:v>
                </c:pt>
                <c:pt idx="7">
                  <c:v>THIAGO LEAL</c:v>
                </c:pt>
              </c:strCache>
            </c:strRef>
          </c:cat>
          <c:val>
            <c:numRef>
              <c:f>[0]!DESLOC_META</c:f>
              <c:numCache>
                <c:formatCode>_("R$"* #,##0.00_);_("R$"* \(#,##0.00\);_("R$"* "-"??_);_(@_)</c:formatCode>
                <c:ptCount val="8"/>
                <c:pt idx="0">
                  <c:v>1000000</c:v>
                </c:pt>
                <c:pt idx="1">
                  <c:v>790000</c:v>
                </c:pt>
                <c:pt idx="2">
                  <c:v>842000</c:v>
                </c:pt>
                <c:pt idx="3">
                  <c:v>743000</c:v>
                </c:pt>
                <c:pt idx="4">
                  <c:v>639000</c:v>
                </c:pt>
                <c:pt idx="5">
                  <c:v>634000</c:v>
                </c:pt>
                <c:pt idx="6">
                  <c:v>510000</c:v>
                </c:pt>
                <c:pt idx="7">
                  <c:v>332000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B9-4535-825E-83527FA46882}"/>
            </c:ext>
          </c:extLst>
        </c:ser>
        <c:ser>
          <c:idx val="0"/>
          <c:order val="1"/>
          <c:tx>
            <c:v>VENDA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TBL_COORDENADOR!$A$4:$A$20</c:f>
              <c:strCache>
                <c:ptCount val="8"/>
                <c:pt idx="0">
                  <c:v>RAMOS</c:v>
                </c:pt>
                <c:pt idx="1">
                  <c:v>PEDRO ALISSON</c:v>
                </c:pt>
                <c:pt idx="2">
                  <c:v>LUCIANO SOUSA</c:v>
                </c:pt>
                <c:pt idx="3">
                  <c:v>GENILSON SOUZA</c:v>
                </c:pt>
                <c:pt idx="4">
                  <c:v>EDVALDO TRAVASSOS</c:v>
                </c:pt>
                <c:pt idx="5">
                  <c:v>JOILSON DE AVIZ</c:v>
                </c:pt>
                <c:pt idx="6">
                  <c:v>MARCIO QUADROS</c:v>
                </c:pt>
                <c:pt idx="7">
                  <c:v>THIAGO LEAL</c:v>
                </c:pt>
              </c:strCache>
            </c:strRef>
          </c:cat>
          <c:val>
            <c:numRef>
              <c:f>[0]!DESLOC_VENDA</c:f>
              <c:numCache>
                <c:formatCode>_("R$"* #,##0.00_);_("R$"* \(#,##0.00\);_("R$"* "-"??_);_(@_)</c:formatCode>
                <c:ptCount val="8"/>
                <c:pt idx="0">
                  <c:v>488596.11000000004</c:v>
                </c:pt>
                <c:pt idx="1">
                  <c:v>402890.95000000013</c:v>
                </c:pt>
                <c:pt idx="2">
                  <c:v>366742.08</c:v>
                </c:pt>
                <c:pt idx="3">
                  <c:v>332009.37999999995</c:v>
                </c:pt>
                <c:pt idx="4">
                  <c:v>245224.16999999998</c:v>
                </c:pt>
                <c:pt idx="5">
                  <c:v>194596.37999999998</c:v>
                </c:pt>
                <c:pt idx="6">
                  <c:v>172830.32000000004</c:v>
                </c:pt>
                <c:pt idx="7">
                  <c:v>153597.82999999999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B9-4535-825E-83527FA46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4590032"/>
        <c:axId val="534590512"/>
      </c:barChart>
      <c:catAx>
        <c:axId val="53459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4590512"/>
        <c:crosses val="autoZero"/>
        <c:auto val="1"/>
        <c:lblAlgn val="ctr"/>
        <c:lblOffset val="100"/>
        <c:noMultiLvlLbl val="0"/>
      </c:catAx>
      <c:valAx>
        <c:axId val="534590512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345900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600" u="sng">
                <a:solidFill>
                  <a:schemeClr val="bg1"/>
                </a:solidFill>
              </a:rPr>
              <a:t>MARGEM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cap="all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3315888888888884"/>
          <c:y val="0.29289996483825603"/>
          <c:w val="0.37836759259259256"/>
          <c:h val="0.59868289967182364"/>
        </c:manualLayout>
      </c:layout>
      <c:pieChart>
        <c:varyColors val="1"/>
        <c:ser>
          <c:idx val="0"/>
          <c:order val="0"/>
          <c:tx>
            <c:v>MARGEM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E58-4199-AEC1-FF511FB225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58-4199-AEC1-FF511FB225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E58-4199-AEC1-FF511FB225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58-4199-AEC1-FF511FB225B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8E58-4199-AEC1-FF511FB225B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E58-4199-AEC1-FF511FB225B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8E58-4199-AEC1-FF511FB225B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E58-4199-AEC1-FF511FB225B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8-4199-AEC1-FF511FB225B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8-4199-AEC1-FF511FB225BF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8-4199-AEC1-FF511FB225BF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E58-4199-AEC1-FF511FB225BF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58-4199-AEC1-FF511FB225BF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58-4199-AEC1-FF511FB225BF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58-4199-AEC1-FF511FB225BF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E58-4199-AEC1-FF511FB225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TBL_COORDENADOR!$A$4:$A$20</c:f>
              <c:strCache>
                <c:ptCount val="8"/>
                <c:pt idx="0">
                  <c:v>RAMOS</c:v>
                </c:pt>
                <c:pt idx="1">
                  <c:v>PEDRO ALISSON</c:v>
                </c:pt>
                <c:pt idx="2">
                  <c:v>LUCIANO SOUSA</c:v>
                </c:pt>
                <c:pt idx="3">
                  <c:v>GENILSON SOUZA</c:v>
                </c:pt>
                <c:pt idx="4">
                  <c:v>EDVALDO TRAVASSOS</c:v>
                </c:pt>
                <c:pt idx="5">
                  <c:v>JOILSON DE AVIZ</c:v>
                </c:pt>
                <c:pt idx="6">
                  <c:v>MARCIO QUADROS</c:v>
                </c:pt>
                <c:pt idx="7">
                  <c:v>THIAGO LEAL</c:v>
                </c:pt>
              </c:strCache>
            </c:strRef>
          </c:cat>
          <c:val>
            <c:numRef>
              <c:f>[0]!DESLOC_MARGEM</c:f>
              <c:numCache>
                <c:formatCode>0.00</c:formatCode>
                <c:ptCount val="8"/>
                <c:pt idx="0">
                  <c:v>24.199999999999992</c:v>
                </c:pt>
                <c:pt idx="1">
                  <c:v>22.6</c:v>
                </c:pt>
                <c:pt idx="2">
                  <c:v>23.720000000000002</c:v>
                </c:pt>
                <c:pt idx="3">
                  <c:v>23.83</c:v>
                </c:pt>
                <c:pt idx="4">
                  <c:v>26.819999999999997</c:v>
                </c:pt>
                <c:pt idx="5">
                  <c:v>22.81</c:v>
                </c:pt>
                <c:pt idx="6">
                  <c:v>27.819999999999997</c:v>
                </c:pt>
                <c:pt idx="7">
                  <c:v>20.63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58-4199-AEC1-FF511FB225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QUANTIDADE MÉDIA DE ITENS</c:v>
          </c:tx>
          <c:spPr>
            <a:solidFill>
              <a:schemeClr val="accent1">
                <a:alpha val="50196"/>
              </a:schemeClr>
            </a:solidFill>
            <a:ln w="25400">
              <a:solidFill>
                <a:schemeClr val="accent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TBL_COORDENADOR!$A$4:$A$20</c:f>
              <c:strCache>
                <c:ptCount val="8"/>
                <c:pt idx="0">
                  <c:v>RAMOS</c:v>
                </c:pt>
                <c:pt idx="1">
                  <c:v>PEDRO ALISSON</c:v>
                </c:pt>
                <c:pt idx="2">
                  <c:v>LUCIANO SOUSA</c:v>
                </c:pt>
                <c:pt idx="3">
                  <c:v>GENILSON SOUZA</c:v>
                </c:pt>
                <c:pt idx="4">
                  <c:v>EDVALDO TRAVASSOS</c:v>
                </c:pt>
                <c:pt idx="5">
                  <c:v>JOILSON DE AVIZ</c:v>
                </c:pt>
                <c:pt idx="6">
                  <c:v>MARCIO QUADROS</c:v>
                </c:pt>
                <c:pt idx="7">
                  <c:v>THIAGO LEAL</c:v>
                </c:pt>
              </c:strCache>
            </c:strRef>
          </c:cat>
          <c:val>
            <c:numRef>
              <c:f>[0]!DESLOC_ITENS</c:f>
              <c:numCache>
                <c:formatCode>#,##0</c:formatCode>
                <c:ptCount val="8"/>
                <c:pt idx="0">
                  <c:v>161.25</c:v>
                </c:pt>
                <c:pt idx="1">
                  <c:v>141.55000000000001</c:v>
                </c:pt>
                <c:pt idx="2">
                  <c:v>130.76</c:v>
                </c:pt>
                <c:pt idx="3">
                  <c:v>99.17</c:v>
                </c:pt>
                <c:pt idx="4">
                  <c:v>104.28999999999999</c:v>
                </c:pt>
                <c:pt idx="5">
                  <c:v>87.39</c:v>
                </c:pt>
                <c:pt idx="6">
                  <c:v>143.07000000000002</c:v>
                </c:pt>
                <c:pt idx="7">
                  <c:v>22.52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6F-4B69-BADB-9CF3E6DBB5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813575968"/>
        <c:axId val="813562048"/>
      </c:barChart>
      <c:catAx>
        <c:axId val="813575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562048"/>
        <c:crosses val="autoZero"/>
        <c:auto val="1"/>
        <c:lblAlgn val="ctr"/>
        <c:lblOffset val="100"/>
        <c:noMultiLvlLbl val="0"/>
      </c:catAx>
      <c:valAx>
        <c:axId val="813562048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8135759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sng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MIX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TBL_COORDENADOR!$A$4:$A$20</c:f>
              <c:strCache>
                <c:ptCount val="8"/>
                <c:pt idx="0">
                  <c:v>RAMOS</c:v>
                </c:pt>
                <c:pt idx="1">
                  <c:v>PEDRO ALISSON</c:v>
                </c:pt>
                <c:pt idx="2">
                  <c:v>LUCIANO SOUSA</c:v>
                </c:pt>
                <c:pt idx="3">
                  <c:v>GENILSON SOUZA</c:v>
                </c:pt>
                <c:pt idx="4">
                  <c:v>EDVALDO TRAVASSOS</c:v>
                </c:pt>
                <c:pt idx="5">
                  <c:v>JOILSON DE AVIZ</c:v>
                </c:pt>
                <c:pt idx="6">
                  <c:v>MARCIO QUADROS</c:v>
                </c:pt>
                <c:pt idx="7">
                  <c:v>THIAGO LEAL</c:v>
                </c:pt>
              </c:strCache>
            </c:strRef>
          </c:cat>
          <c:val>
            <c:numRef>
              <c:f>[0]!DESLOC_MIX</c:f>
              <c:numCache>
                <c:formatCode>#,##0</c:formatCode>
                <c:ptCount val="8"/>
                <c:pt idx="0">
                  <c:v>223.07692307692307</c:v>
                </c:pt>
                <c:pt idx="1">
                  <c:v>189.38461538461539</c:v>
                </c:pt>
                <c:pt idx="2">
                  <c:v>183.61538461538461</c:v>
                </c:pt>
                <c:pt idx="3">
                  <c:v>235.55555555555554</c:v>
                </c:pt>
                <c:pt idx="4">
                  <c:v>255</c:v>
                </c:pt>
                <c:pt idx="5">
                  <c:v>124.33333333333333</c:v>
                </c:pt>
                <c:pt idx="6">
                  <c:v>165.28571428571428</c:v>
                </c:pt>
                <c:pt idx="7">
                  <c:v>109.5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3F-4BD5-949B-A50360BBA03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13582688"/>
        <c:axId val="813584128"/>
      </c:lineChart>
      <c:catAx>
        <c:axId val="81358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584128"/>
        <c:crosses val="autoZero"/>
        <c:auto val="1"/>
        <c:lblAlgn val="ctr"/>
        <c:lblOffset val="100"/>
        <c:noMultiLvlLbl val="0"/>
      </c:catAx>
      <c:valAx>
        <c:axId val="813584128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81358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cap="all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305555555555557"/>
          <c:y val="0.34086028214154357"/>
          <c:w val="0.69155555555555548"/>
          <c:h val="0.5665426496085747"/>
        </c:manualLayout>
      </c:layout>
      <c:pie3DChart>
        <c:varyColors val="1"/>
        <c:ser>
          <c:idx val="0"/>
          <c:order val="0"/>
          <c:tx>
            <c:v>PRAZO MÉDIO</c:v>
          </c:tx>
          <c:explosion val="15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E09-4D1B-8017-AA0A47C335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8E09-4D1B-8017-AA0A47C335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E09-4D1B-8017-AA0A47C335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8E09-4D1B-8017-AA0A47C335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E09-4D1B-8017-AA0A47C335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8E09-4D1B-8017-AA0A47C3352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8E09-4D1B-8017-AA0A47C335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8E09-4D1B-8017-AA0A47C3352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09-4D1B-8017-AA0A47C3352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09-4D1B-8017-AA0A47C3352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09-4D1B-8017-AA0A47C33527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09-4D1B-8017-AA0A47C33527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E09-4D1B-8017-AA0A47C33527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09-4D1B-8017-AA0A47C33527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09-4D1B-8017-AA0A47C33527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09-4D1B-8017-AA0A47C335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TBL_COORDENADOR!$A$4:$A$20</c:f>
              <c:strCache>
                <c:ptCount val="8"/>
                <c:pt idx="0">
                  <c:v>RAMOS</c:v>
                </c:pt>
                <c:pt idx="1">
                  <c:v>PEDRO ALISSON</c:v>
                </c:pt>
                <c:pt idx="2">
                  <c:v>LUCIANO SOUSA</c:v>
                </c:pt>
                <c:pt idx="3">
                  <c:v>GENILSON SOUZA</c:v>
                </c:pt>
                <c:pt idx="4">
                  <c:v>EDVALDO TRAVASSOS</c:v>
                </c:pt>
                <c:pt idx="5">
                  <c:v>JOILSON DE AVIZ</c:v>
                </c:pt>
                <c:pt idx="6">
                  <c:v>MARCIO QUADROS</c:v>
                </c:pt>
                <c:pt idx="7">
                  <c:v>THIAGO LEAL</c:v>
                </c:pt>
              </c:strCache>
            </c:strRef>
          </c:cat>
          <c:val>
            <c:numRef>
              <c:f>[0]!DESLOC_PZMEDIO</c:f>
              <c:numCache>
                <c:formatCode>0</c:formatCode>
                <c:ptCount val="8"/>
                <c:pt idx="0">
                  <c:v>23.050000000000008</c:v>
                </c:pt>
                <c:pt idx="1">
                  <c:v>28.259999999999994</c:v>
                </c:pt>
                <c:pt idx="2">
                  <c:v>18.900000000000002</c:v>
                </c:pt>
                <c:pt idx="3">
                  <c:v>23.569999999999997</c:v>
                </c:pt>
                <c:pt idx="4">
                  <c:v>23.550000000000004</c:v>
                </c:pt>
                <c:pt idx="5">
                  <c:v>15.870000000000003</c:v>
                </c:pt>
                <c:pt idx="6">
                  <c:v>22.479999999999997</c:v>
                </c:pt>
                <c:pt idx="7">
                  <c:v>35.04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09-4D1B-8017-AA0A47C335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34</xdr:col>
      <xdr:colOff>312964</xdr:colOff>
      <xdr:row>53</xdr:row>
      <xdr:rowOff>81643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D73F7AD-D6E4-ED10-BB0D-22E8174160A0}"/>
            </a:ext>
          </a:extLst>
        </xdr:cNvPr>
        <xdr:cNvSpPr/>
      </xdr:nvSpPr>
      <xdr:spPr>
        <a:xfrm>
          <a:off x="0" y="0"/>
          <a:ext cx="21131893" cy="10178143"/>
        </a:xfrm>
        <a:prstGeom prst="rect">
          <a:avLst/>
        </a:prstGeom>
        <a:solidFill>
          <a:srgbClr val="020306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54428</xdr:colOff>
      <xdr:row>0</xdr:row>
      <xdr:rowOff>95250</xdr:rowOff>
    </xdr:from>
    <xdr:to>
      <xdr:col>11</xdr:col>
      <xdr:colOff>54428</xdr:colOff>
      <xdr:row>9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NOME_SV">
              <a:extLst>
                <a:ext uri="{FF2B5EF4-FFF2-40B4-BE49-F238E27FC236}">
                  <a16:creationId xmlns:a16="http://schemas.microsoft.com/office/drawing/2014/main" id="{51ED7320-298E-40E8-A0A9-2B7D426204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_S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428" y="95250"/>
              <a:ext cx="2160000" cy="30616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421822</xdr:colOff>
      <xdr:row>9</xdr:row>
      <xdr:rowOff>136072</xdr:rowOff>
    </xdr:from>
    <xdr:to>
      <xdr:col>11</xdr:col>
      <xdr:colOff>50893</xdr:colOff>
      <xdr:row>16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MES">
              <a:extLst>
                <a:ext uri="{FF2B5EF4-FFF2-40B4-BE49-F238E27FC236}">
                  <a16:creationId xmlns:a16="http://schemas.microsoft.com/office/drawing/2014/main" id="{B37FA9BD-B916-47D8-8A08-FDC82A4FEF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8786" y="1850572"/>
              <a:ext cx="4527643" cy="12926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54428</xdr:colOff>
      <xdr:row>9</xdr:row>
      <xdr:rowOff>136075</xdr:rowOff>
    </xdr:from>
    <xdr:to>
      <xdr:col>3</xdr:col>
      <xdr:colOff>377464</xdr:colOff>
      <xdr:row>16</xdr:row>
      <xdr:rowOff>68036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">
              <a:extLst>
                <a:ext uri="{FF2B5EF4-FFF2-40B4-BE49-F238E27FC236}">
                  <a16:creationId xmlns:a16="http://schemas.microsoft.com/office/drawing/2014/main" id="{ABA259F7-E966-424E-BD7B-B7A698416F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428" y="1850575"/>
              <a:ext cx="2160000" cy="1265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54429</xdr:colOff>
      <xdr:row>35</xdr:row>
      <xdr:rowOff>29104</xdr:rowOff>
    </xdr:from>
    <xdr:to>
      <xdr:col>16</xdr:col>
      <xdr:colOff>388443</xdr:colOff>
      <xdr:row>53</xdr:row>
      <xdr:rowOff>12778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25A0E6C-7829-7AB2-866E-2D05F8965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47621</xdr:colOff>
      <xdr:row>16</xdr:row>
      <xdr:rowOff>166000</xdr:rowOff>
    </xdr:from>
    <xdr:to>
      <xdr:col>16</xdr:col>
      <xdr:colOff>380999</xdr:colOff>
      <xdr:row>34</xdr:row>
      <xdr:rowOff>149674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A4E9BD0-5855-E93B-B46C-8BFF74DB5A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428626</xdr:colOff>
      <xdr:row>16</xdr:row>
      <xdr:rowOff>179608</xdr:rowOff>
    </xdr:from>
    <xdr:to>
      <xdr:col>25</xdr:col>
      <xdr:colOff>317733</xdr:colOff>
      <xdr:row>34</xdr:row>
      <xdr:rowOff>163408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6BBE2E8-E90A-F096-58DF-3900F1013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428626</xdr:colOff>
      <xdr:row>35</xdr:row>
      <xdr:rowOff>28978</xdr:rowOff>
    </xdr:from>
    <xdr:to>
      <xdr:col>25</xdr:col>
      <xdr:colOff>317733</xdr:colOff>
      <xdr:row>53</xdr:row>
      <xdr:rowOff>12778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12F2358-0EA0-5606-7356-9982DA279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346982</xdr:colOff>
      <xdr:row>16</xdr:row>
      <xdr:rowOff>179608</xdr:rowOff>
    </xdr:from>
    <xdr:to>
      <xdr:col>34</xdr:col>
      <xdr:colOff>236089</xdr:colOff>
      <xdr:row>34</xdr:row>
      <xdr:rowOff>163408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74342DB1-611B-537C-7963-64EBD53D8E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346983</xdr:colOff>
      <xdr:row>35</xdr:row>
      <xdr:rowOff>43542</xdr:rowOff>
    </xdr:from>
    <xdr:to>
      <xdr:col>34</xdr:col>
      <xdr:colOff>236090</xdr:colOff>
      <xdr:row>53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CAABF1A-99F6-5F2F-1F93-7F8ADA5D29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108857</xdr:colOff>
      <xdr:row>0</xdr:row>
      <xdr:rowOff>84358</xdr:rowOff>
    </xdr:from>
    <xdr:to>
      <xdr:col>34</xdr:col>
      <xdr:colOff>220255</xdr:colOff>
      <xdr:row>16</xdr:row>
      <xdr:rowOff>99502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4B9E08A-8B60-2221-9BAE-7AF6B54D0066}"/>
            </a:ext>
          </a:extLst>
        </xdr:cNvPr>
        <xdr:cNvGrpSpPr/>
      </xdr:nvGrpSpPr>
      <xdr:grpSpPr>
        <a:xfrm>
          <a:off x="6844393" y="84358"/>
          <a:ext cx="14194791" cy="3063144"/>
          <a:chOff x="2273243" y="97965"/>
          <a:chExt cx="13363915" cy="3063144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96763E2B-E1A2-AD90-86B1-70E303F572B0}"/>
              </a:ext>
            </a:extLst>
          </xdr:cNvPr>
          <xdr:cNvSpPr/>
        </xdr:nvSpPr>
        <xdr:spPr>
          <a:xfrm>
            <a:off x="2273243" y="108857"/>
            <a:ext cx="13363915" cy="3052252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TBL_COORDENADOR!L4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ADDA790-41ED-3761-24B7-39B4B14B53F7}"/>
              </a:ext>
            </a:extLst>
          </xdr:cNvPr>
          <xdr:cNvSpPr/>
        </xdr:nvSpPr>
        <xdr:spPr>
          <a:xfrm>
            <a:off x="2403021" y="1129386"/>
            <a:ext cx="2520000" cy="720000"/>
          </a:xfrm>
          <a:prstGeom prst="roundRect">
            <a:avLst/>
          </a:prstGeom>
          <a:ln>
            <a:solidFill>
              <a:schemeClr val="accent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CE3E3C-1AA5-4C4F-B3A8-ED52D9595334}" type="TxLink">
              <a:rPr lang="en-US" sz="20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ctr"/>
              <a:t> R$5.490.000,00 </a:t>
            </a:fld>
            <a:endParaRPr lang="pt-BR" sz="2000">
              <a:solidFill>
                <a:schemeClr val="accent2"/>
              </a:solidFill>
            </a:endParaRPr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C95341AE-7788-4739-24BE-3B6E8EE9FCFD}"/>
              </a:ext>
            </a:extLst>
          </xdr:cNvPr>
          <xdr:cNvSpPr txBox="1"/>
        </xdr:nvSpPr>
        <xdr:spPr>
          <a:xfrm>
            <a:off x="2403021" y="653137"/>
            <a:ext cx="2520000" cy="43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META FINANCEIRA</a:t>
            </a:r>
          </a:p>
        </xdr:txBody>
      </xdr:sp>
      <xdr:sp macro="" textlink="TBL_COORDENADOR!M4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32987509-546B-4E69-92AA-ADEDF6A88BCA}"/>
              </a:ext>
            </a:extLst>
          </xdr:cNvPr>
          <xdr:cNvSpPr/>
        </xdr:nvSpPr>
        <xdr:spPr>
          <a:xfrm>
            <a:off x="2403021" y="2370360"/>
            <a:ext cx="2520000" cy="720000"/>
          </a:xfrm>
          <a:prstGeom prst="roundRect">
            <a:avLst/>
          </a:prstGeom>
          <a:ln>
            <a:solidFill>
              <a:schemeClr val="accent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E2C3F16-4C47-48A6-9048-41D16D64FFF5}" type="TxLink">
              <a:rPr lang="en-US" sz="20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ctr"/>
              <a:t> R$2.356.487,22 </a:t>
            </a:fld>
            <a:endParaRPr lang="pt-BR" sz="2000">
              <a:solidFill>
                <a:schemeClr val="accent2"/>
              </a:solidFill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4A2A6117-0452-4385-95A6-4A823F2D658A}"/>
              </a:ext>
            </a:extLst>
          </xdr:cNvPr>
          <xdr:cNvSpPr txBox="1"/>
        </xdr:nvSpPr>
        <xdr:spPr>
          <a:xfrm>
            <a:off x="2403021" y="1894111"/>
            <a:ext cx="2520000" cy="43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VENDA TOTAL</a:t>
            </a:r>
          </a:p>
        </xdr:txBody>
      </xdr:sp>
      <xdr:sp macro="" textlink="TBL_COORDENADOR!N4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46445D6B-32A0-0622-2E33-6A8B17E85002}"/>
              </a:ext>
            </a:extLst>
          </xdr:cNvPr>
          <xdr:cNvSpPr/>
        </xdr:nvSpPr>
        <xdr:spPr>
          <a:xfrm>
            <a:off x="5044167" y="1129386"/>
            <a:ext cx="2520000" cy="720000"/>
          </a:xfrm>
          <a:prstGeom prst="roundRect">
            <a:avLst/>
          </a:prstGeom>
          <a:ln>
            <a:solidFill>
              <a:schemeClr val="accent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78A345FC-39B9-441F-A8D4-468E91FD0D1B}" type="TxLink">
              <a:rPr lang="en-US" sz="2000" b="0" i="0" u="none" strike="noStrike">
                <a:solidFill>
                  <a:schemeClr val="accent2"/>
                </a:solidFill>
                <a:latin typeface="Calibri"/>
                <a:ea typeface="+mn-ea"/>
                <a:cs typeface="Calibri"/>
              </a:rPr>
              <a:pPr marL="0" indent="0" algn="ctr"/>
              <a:t>4.067</a:t>
            </a:fld>
            <a:endParaRPr lang="pt-BR" sz="2000" b="0" i="0" u="none" strike="noStrike">
              <a:solidFill>
                <a:schemeClr val="accent2"/>
              </a:solidFill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EE2DAEE-A32E-E538-5CAA-3BBB7DD1988F}"/>
              </a:ext>
            </a:extLst>
          </xdr:cNvPr>
          <xdr:cNvSpPr txBox="1"/>
        </xdr:nvSpPr>
        <xdr:spPr>
          <a:xfrm>
            <a:off x="5044167" y="653137"/>
            <a:ext cx="2520000" cy="43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META COBERTURA</a:t>
            </a:r>
          </a:p>
        </xdr:txBody>
      </xdr:sp>
      <xdr:sp macro="" textlink="TBL_COORDENADOR!AL17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C41C08A7-3FBB-4DFE-F94A-B0D10564729C}"/>
              </a:ext>
            </a:extLst>
          </xdr:cNvPr>
          <xdr:cNvSpPr/>
        </xdr:nvSpPr>
        <xdr:spPr>
          <a:xfrm>
            <a:off x="5044167" y="2370360"/>
            <a:ext cx="2520000" cy="720000"/>
          </a:xfrm>
          <a:prstGeom prst="roundRect">
            <a:avLst/>
          </a:prstGeom>
          <a:ln>
            <a:solidFill>
              <a:schemeClr val="accent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25BC1EF5-9210-44FF-ADA1-C0FEAC316398}" type="TxLink">
              <a:rPr lang="en-US" sz="2000" b="0" i="0" u="none" strike="noStrike">
                <a:solidFill>
                  <a:schemeClr val="accent2"/>
                </a:solidFill>
                <a:latin typeface="Calibri"/>
                <a:ea typeface="+mn-ea"/>
                <a:cs typeface="Calibri"/>
              </a:rPr>
              <a:pPr marL="0" indent="0" algn="ctr"/>
              <a:t>1.654</a:t>
            </a:fld>
            <a:endParaRPr lang="pt-BR" sz="2000" b="0" i="0" u="none" strike="noStrike">
              <a:solidFill>
                <a:schemeClr val="accent2"/>
              </a:solidFill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F11D6EE-3A61-E6D1-79C4-359050056558}"/>
              </a:ext>
            </a:extLst>
          </xdr:cNvPr>
          <xdr:cNvSpPr txBox="1"/>
        </xdr:nvSpPr>
        <xdr:spPr>
          <a:xfrm>
            <a:off x="5044167" y="1894111"/>
            <a:ext cx="2520000" cy="43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COBERTURA TOTAL</a:t>
            </a:r>
          </a:p>
        </xdr:txBody>
      </xdr:sp>
      <xdr:sp macro="" textlink="TBL_COORDENADOR!R4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57BC8693-1B6C-3E5E-40B2-A4C89475D05C}"/>
              </a:ext>
            </a:extLst>
          </xdr:cNvPr>
          <xdr:cNvSpPr/>
        </xdr:nvSpPr>
        <xdr:spPr>
          <a:xfrm>
            <a:off x="7685313" y="1129386"/>
            <a:ext cx="2520000" cy="720000"/>
          </a:xfrm>
          <a:prstGeom prst="roundRect">
            <a:avLst/>
          </a:prstGeom>
          <a:ln>
            <a:solidFill>
              <a:schemeClr val="accent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0BB8ACBC-2B2A-48AE-911D-048E4ED7B8C0}" type="TxLink">
              <a:rPr lang="en-US" sz="2000" b="0" i="0" u="none" strike="noStrike">
                <a:solidFill>
                  <a:schemeClr val="accent2"/>
                </a:solidFill>
                <a:latin typeface="Calibri"/>
                <a:ea typeface="+mn-ea"/>
                <a:cs typeface="Calibri"/>
              </a:rPr>
              <a:pPr marL="0" indent="0" algn="ctr"/>
              <a:t>24,05</a:t>
            </a:fld>
            <a:endParaRPr lang="pt-BR" sz="2000" b="0" i="0" u="none" strike="noStrike">
              <a:solidFill>
                <a:schemeClr val="accent2"/>
              </a:solidFill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5EB27452-149E-EFCA-5ACE-D8E919523713}"/>
              </a:ext>
            </a:extLst>
          </xdr:cNvPr>
          <xdr:cNvSpPr txBox="1"/>
        </xdr:nvSpPr>
        <xdr:spPr>
          <a:xfrm>
            <a:off x="7685313" y="653137"/>
            <a:ext cx="2520000" cy="43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MÉDIA DE MARGEM</a:t>
            </a:r>
          </a:p>
        </xdr:txBody>
      </xdr:sp>
      <xdr:sp macro="" textlink="TBL_COORDENADOR!Q4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DA4C9000-0C68-AF66-50A4-9EA5A1949BAD}"/>
              </a:ext>
            </a:extLst>
          </xdr:cNvPr>
          <xdr:cNvSpPr/>
        </xdr:nvSpPr>
        <xdr:spPr>
          <a:xfrm>
            <a:off x="7685313" y="2370360"/>
            <a:ext cx="2520000" cy="720000"/>
          </a:xfrm>
          <a:prstGeom prst="roundRect">
            <a:avLst/>
          </a:prstGeom>
          <a:ln>
            <a:solidFill>
              <a:schemeClr val="accent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2F4FBBE2-FFF9-4207-B2BB-7F73CFF60734}" type="TxLink">
              <a:rPr lang="en-US" sz="2000" b="0" i="0" u="none" strike="noStrike">
                <a:solidFill>
                  <a:schemeClr val="accent2"/>
                </a:solidFill>
                <a:latin typeface="Calibri"/>
                <a:ea typeface="+mn-ea"/>
                <a:cs typeface="Calibri"/>
              </a:rPr>
              <a:pPr marL="0" indent="0" algn="ctr"/>
              <a:t>111</a:t>
            </a:fld>
            <a:endParaRPr lang="pt-BR" sz="2000" b="0" i="0" u="none" strike="noStrike">
              <a:solidFill>
                <a:schemeClr val="accent2"/>
              </a:solidFill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BDC15C7E-E18E-5A5C-7069-BA213FA6EAE6}"/>
              </a:ext>
            </a:extLst>
          </xdr:cNvPr>
          <xdr:cNvSpPr txBox="1"/>
        </xdr:nvSpPr>
        <xdr:spPr>
          <a:xfrm>
            <a:off x="7685313" y="1894111"/>
            <a:ext cx="2520000" cy="43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QUANTIDADE</a:t>
            </a:r>
            <a:r>
              <a:rPr lang="pt-BR" sz="1400" b="1" baseline="0">
                <a:solidFill>
                  <a:schemeClr val="bg1"/>
                </a:solidFill>
              </a:rPr>
              <a:t> MÉDIA DE ITENS</a:t>
            </a:r>
            <a:endParaRPr lang="pt-BR" sz="1400" b="1">
              <a:solidFill>
                <a:schemeClr val="bg1"/>
              </a:solidFill>
            </a:endParaRPr>
          </a:p>
        </xdr:txBody>
      </xdr:sp>
      <xdr:sp macro="" textlink="TBL_COORDENADOR!S4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37C3DA1B-616C-8748-19A3-627BC907B939}"/>
              </a:ext>
            </a:extLst>
          </xdr:cNvPr>
          <xdr:cNvSpPr/>
        </xdr:nvSpPr>
        <xdr:spPr>
          <a:xfrm>
            <a:off x="10326459" y="1129386"/>
            <a:ext cx="2520000" cy="720000"/>
          </a:xfrm>
          <a:prstGeom prst="roundRect">
            <a:avLst/>
          </a:prstGeom>
          <a:ln>
            <a:solidFill>
              <a:schemeClr val="accent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8CFBE6F-1175-422B-A322-B3A8C39F45EA}" type="TxLink">
              <a:rPr lang="en-US" sz="2000" b="0" i="0" u="none" strike="noStrike">
                <a:solidFill>
                  <a:schemeClr val="accent2"/>
                </a:solidFill>
                <a:latin typeface="Calibri"/>
                <a:ea typeface="+mn-ea"/>
                <a:cs typeface="Calibri"/>
              </a:rPr>
              <a:pPr marL="0" indent="0" algn="ctr"/>
              <a:t>23,84</a:t>
            </a:fld>
            <a:endParaRPr lang="pt-BR" sz="2000" b="0" i="0" u="none" strike="noStrike">
              <a:solidFill>
                <a:schemeClr val="accent2"/>
              </a:solidFill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E7191195-44C7-4357-5A89-3CE088C3BA40}"/>
              </a:ext>
            </a:extLst>
          </xdr:cNvPr>
          <xdr:cNvSpPr txBox="1"/>
        </xdr:nvSpPr>
        <xdr:spPr>
          <a:xfrm>
            <a:off x="10326459" y="653137"/>
            <a:ext cx="2520000" cy="43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PRAZO MÉDIO</a:t>
            </a:r>
          </a:p>
        </xdr:txBody>
      </xdr:sp>
      <xdr:sp macro="" textlink="TBL_COORDENADOR!P4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EB9832E2-16D3-01E6-0CE9-F3AF86C7AAF3}"/>
              </a:ext>
            </a:extLst>
          </xdr:cNvPr>
          <xdr:cNvSpPr/>
        </xdr:nvSpPr>
        <xdr:spPr>
          <a:xfrm>
            <a:off x="10326459" y="2370360"/>
            <a:ext cx="2520000" cy="720000"/>
          </a:xfrm>
          <a:prstGeom prst="roundRect">
            <a:avLst/>
          </a:prstGeom>
          <a:ln>
            <a:solidFill>
              <a:schemeClr val="accent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09D1301F-D16C-4320-85A4-B35EAF5D971B}" type="TxLink">
              <a:rPr lang="en-US" sz="2000" b="0" i="0" u="none" strike="noStrike">
                <a:solidFill>
                  <a:schemeClr val="accent2"/>
                </a:solidFill>
                <a:latin typeface="Calibri"/>
                <a:ea typeface="+mn-ea"/>
                <a:cs typeface="Calibri"/>
              </a:rPr>
              <a:pPr marL="0" indent="0" algn="ctr"/>
              <a:t>1.486</a:t>
            </a:fld>
            <a:endParaRPr lang="pt-BR" sz="2000" b="0" i="0" u="none" strike="noStrike">
              <a:solidFill>
                <a:schemeClr val="accent2"/>
              </a:solidFill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25E5C4BF-2E34-A572-7E7B-EDDE23C34698}"/>
              </a:ext>
            </a:extLst>
          </xdr:cNvPr>
          <xdr:cNvSpPr txBox="1"/>
        </xdr:nvSpPr>
        <xdr:spPr>
          <a:xfrm>
            <a:off x="10326459" y="1894111"/>
            <a:ext cx="2520000" cy="43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MIX MÉDIO</a:t>
            </a:r>
          </a:p>
        </xdr:txBody>
      </xdr:sp>
      <xdr:sp macro="" textlink="TBL_COORDENADOR!T4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E78FC20F-3794-9C4B-1B17-E59EB8CAB5A3}"/>
              </a:ext>
            </a:extLst>
          </xdr:cNvPr>
          <xdr:cNvSpPr/>
        </xdr:nvSpPr>
        <xdr:spPr>
          <a:xfrm>
            <a:off x="12967606" y="1129386"/>
            <a:ext cx="2520000" cy="720000"/>
          </a:xfrm>
          <a:prstGeom prst="roundRect">
            <a:avLst/>
          </a:prstGeom>
          <a:ln>
            <a:solidFill>
              <a:schemeClr val="accent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2814242C-EA6D-49F7-BAFF-68304D12FDDD}" type="TxLink">
              <a:rPr lang="en-US" sz="2000" b="0" i="0" u="none" strike="noStrike">
                <a:solidFill>
                  <a:schemeClr val="accent2"/>
                </a:solidFill>
                <a:latin typeface="Calibri"/>
                <a:ea typeface="+mn-ea"/>
                <a:cs typeface="Calibri"/>
              </a:rPr>
              <a:pPr marL="0" indent="0" algn="ctr"/>
              <a:t>44</a:t>
            </a:fld>
            <a:endParaRPr lang="pt-BR" sz="2000" b="0" i="0" u="none" strike="noStrike">
              <a:solidFill>
                <a:schemeClr val="accent2"/>
              </a:solidFill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5796FFC4-426D-0ECA-E5C5-5DC1A7D4068B}"/>
              </a:ext>
            </a:extLst>
          </xdr:cNvPr>
          <xdr:cNvSpPr txBox="1"/>
        </xdr:nvSpPr>
        <xdr:spPr>
          <a:xfrm>
            <a:off x="12967606" y="653137"/>
            <a:ext cx="2520000" cy="43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CLIENTES CADASTRADOS</a:t>
            </a: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45470B04-960D-49EA-BE56-9AA9513BEDF4}"/>
              </a:ext>
            </a:extLst>
          </xdr:cNvPr>
          <xdr:cNvSpPr txBox="1"/>
        </xdr:nvSpPr>
        <xdr:spPr>
          <a:xfrm>
            <a:off x="2449286" y="97965"/>
            <a:ext cx="13008428" cy="432000"/>
          </a:xfrm>
          <a:prstGeom prst="roundRect">
            <a:avLst>
              <a:gd name="adj" fmla="val 35566"/>
            </a:avLst>
          </a:prstGeom>
          <a:noFill/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000" b="1" u="sng">
                <a:solidFill>
                  <a:schemeClr val="bg1"/>
                </a:solidFill>
              </a:rPr>
              <a:t>RESUMO GERAL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mercial02" refreshedDate="45827.61550266204" createdVersion="8" refreshedVersion="8" minRefreshableVersion="3" recordCount="558" xr:uid="{47AD91C6-8822-4A07-8AC7-2FBF4A62FC01}">
  <cacheSource type="worksheet">
    <worksheetSource ref="A1:AH1048576" sheet="DADOS"/>
  </cacheSource>
  <cacheFields count="34">
    <cacheField name="COD_SV" numFmtId="0">
      <sharedItems containsString="0" containsBlank="1" containsNumber="1" containsInteger="1" minValue="2" maxValue="26"/>
    </cacheField>
    <cacheField name="NOME_SV" numFmtId="0">
      <sharedItems containsBlank="1" count="17">
        <s v="RAMOS"/>
        <s v="GENILSON SOUZA"/>
        <s v="EDVALDO TRAVASSOS"/>
        <s v="LUCIANO SOUSA"/>
        <s v="PEDRO ALISSON"/>
        <s v="THIAGO LEAL"/>
        <s v="JOILSON DE AVIZ"/>
        <s v="CARLOS WERLY - MT"/>
        <s v="MARCIO QUADROS"/>
        <s v="DANILO DOS SANTOS - INATIVO"/>
        <m/>
        <s v="GLEIDSON BARBOSA" u="1"/>
        <s v="LUCIANO SOUSA - INATIVO" u="1"/>
        <s v="SUANE BRITO" u="1"/>
        <s v="CLEITON RIBEIRO" u="1"/>
        <s v="HERNEN DIOGO - MT" u="1"/>
        <s v="DANILO DOS SANTOS" u="1"/>
      </sharedItems>
    </cacheField>
    <cacheField name="COD_RCA" numFmtId="0">
      <sharedItems containsString="0" containsBlank="1" containsNumber="1" containsInteger="1" minValue="28" maxValue="1619"/>
    </cacheField>
    <cacheField name="NOME_RCA" numFmtId="0">
      <sharedItems containsBlank="1"/>
    </cacheField>
    <cacheField name="MES" numFmtId="0">
      <sharedItems containsBlank="1" count="7">
        <s v="01"/>
        <s v="02"/>
        <s v="03"/>
        <s v="04"/>
        <s v="05"/>
        <s v="06"/>
        <m/>
      </sharedItems>
    </cacheField>
    <cacheField name="ANO" numFmtId="0">
      <sharedItems containsBlank="1" count="2">
        <s v="2025"/>
        <m/>
      </sharedItems>
    </cacheField>
    <cacheField name="META_VENDA" numFmtId="0">
      <sharedItems containsString="0" containsBlank="1" containsNumber="1" containsInteger="1" minValue="0" maxValue="230000"/>
    </cacheField>
    <cacheField name="META_POSITIVACAO" numFmtId="0">
      <sharedItems containsString="0" containsBlank="1" containsNumber="1" containsInteger="1" minValue="0" maxValue="187"/>
    </cacheField>
    <cacheField name="META_POSITIVAÇÃO_ATUALIZADA" numFmtId="0">
      <sharedItems containsString="0" containsBlank="1" containsNumber="1" containsInteger="1" minValue="0" maxValue="187"/>
    </cacheField>
    <cacheField name="VENDA_REAL" numFmtId="0">
      <sharedItems containsString="0" containsBlank="1" containsNumber="1" minValue="0" maxValue="213866.69"/>
    </cacheField>
    <cacheField name="CMV" numFmtId="0">
      <sharedItems containsString="0" containsBlank="1" containsNumber="1" minValue="0" maxValue="160973.17352700001"/>
    </cacheField>
    <cacheField name="CUSTO_BONIFIC" numFmtId="0">
      <sharedItems containsString="0" containsBlank="1" containsNumber="1" containsInteger="1" minValue="0" maxValue="0"/>
    </cacheField>
    <cacheField name="MARGEM_RCA" numFmtId="0">
      <sharedItems containsString="0" containsBlank="1" containsNumber="1" minValue="-691.32" maxValue="37.67"/>
    </cacheField>
    <cacheField name="PRAZO_MEDIO" numFmtId="0">
      <sharedItems containsString="0" containsBlank="1" containsNumber="1" minValue="0" maxValue="61.82"/>
    </cacheField>
    <cacheField name="VENDA_REAL_SUPERV" numFmtId="0">
      <sharedItems containsString="0" containsBlank="1" containsNumber="1" minValue="0" maxValue="1080228.3700000001"/>
    </cacheField>
    <cacheField name="CMV_SUPERV" numFmtId="0">
      <sharedItems containsString="0" containsBlank="1" containsNumber="1" minValue="0" maxValue="810319.896007"/>
    </cacheField>
    <cacheField name="CUSTO_BONIFIC_SUPERV" numFmtId="0">
      <sharedItems containsString="0" containsBlank="1" containsNumber="1" containsInteger="1" minValue="0" maxValue="0"/>
    </cacheField>
    <cacheField name="MARGEM_SUPERVISOR" numFmtId="0">
      <sharedItems containsString="0" containsBlank="1" containsNumber="1" minValue="0" maxValue="30.14"/>
    </cacheField>
    <cacheField name="QTD_CLIENTES_POSITIVADOS" numFmtId="0">
      <sharedItems containsString="0" containsBlank="1" containsNumber="1" containsInteger="1" minValue="0" maxValue="125"/>
    </cacheField>
    <cacheField name="DIAS_UTEIS_MES" numFmtId="0">
      <sharedItems containsString="0" containsBlank="1" containsNumber="1" containsInteger="1" minValue="19" maxValue="22"/>
    </cacheField>
    <cacheField name="DIAS_UTEIS_PASSADOS" numFmtId="0">
      <sharedItems containsString="0" containsBlank="1" containsNumber="1" containsInteger="1" minValue="13" maxValue="22"/>
    </cacheField>
    <cacheField name="MIX" numFmtId="0">
      <sharedItems containsString="0" containsBlank="1" containsNumber="1" containsInteger="1" minValue="0" maxValue="993"/>
    </cacheField>
    <cacheField name="MEDIA_ITENS_POR_PEDIDO" numFmtId="0">
      <sharedItems containsString="0" containsBlank="1" containsNumber="1" minValue="0" maxValue="103.5"/>
    </cacheField>
    <cacheField name="META_ATUALIZADA" numFmtId="0">
      <sharedItems containsString="0" containsBlank="1" containsNumber="1" containsInteger="1" minValue="0" maxValue="230000"/>
    </cacheField>
    <cacheField name="VLDEVOLUCAO" numFmtId="0">
      <sharedItems containsString="0" containsBlank="1" containsNumber="1" minValue="0" maxValue="13692.6"/>
    </cacheField>
    <cacheField name="CLS_CADASTRADOS" numFmtId="0">
      <sharedItems containsString="0" containsBlank="1" containsNumber="1" containsInteger="1" minValue="0" maxValue="7"/>
    </cacheField>
    <cacheField name="PRAZO_MEDIO_SUPERVISOR" numFmtId="0">
      <sharedItems containsString="0" containsBlank="1" containsNumber="1" minValue="0" maxValue="42.49"/>
    </cacheField>
    <cacheField name="QTD_CLIENTES_POSITIVADOS_GERAL" numFmtId="0">
      <sharedItems containsString="0" containsBlank="1" containsNumber="1" containsInteger="1" minValue="1654" maxValue="2975"/>
    </cacheField>
    <cacheField name="META_VENDA_SUPERVISOR" numFmtId="0">
      <sharedItems containsString="0" containsBlank="1" containsNumber="1" containsInteger="1" minValue="45000" maxValue="1336000"/>
    </cacheField>
    <cacheField name="META_ATUALIZADA_SUPERVISOR" numFmtId="0">
      <sharedItems containsString="0" containsBlank="1" containsNumber="1" containsInteger="1" minValue="45000" maxValue="1336000"/>
    </cacheField>
    <cacheField name="VENDA_REAL_SUPERVISOR" numFmtId="0">
      <sharedItems containsString="0" containsBlank="1" containsNumber="1" minValue="7582.29" maxValue="1067042.8500000001"/>
    </cacheField>
    <cacheField name="META_POSITIVACAO_ATUALIZADA_SUPERVISOR" numFmtId="0">
      <sharedItems containsString="0" containsBlank="1" containsNumber="1" containsInteger="1" minValue="40" maxValue="923"/>
    </cacheField>
    <cacheField name="POSITIVACAO_SUPERVISOR" numFmtId="0">
      <sharedItems containsString="0" containsBlank="1" containsNumber="1" containsInteger="1" minValue="7" maxValue="697"/>
    </cacheField>
    <cacheField name="META_POSITIVACAO_GERAL_SUPERVISOR" numFmtId="0">
      <sharedItems containsString="0" containsBlank="1" containsNumber="1" containsInteger="1" minValue="40" maxValue="923"/>
    </cacheField>
  </cacheFields>
  <extLst>
    <ext xmlns:x14="http://schemas.microsoft.com/office/spreadsheetml/2009/9/main" uri="{725AE2AE-9491-48be-B2B4-4EB974FC3084}">
      <x14:pivotCacheDefinition pivotCacheId="188099301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8">
  <r>
    <n v="2"/>
    <x v="0"/>
    <n v="28"/>
    <s v="RAIMUNDO"/>
    <x v="0"/>
    <x v="0"/>
    <n v="0"/>
    <n v="0"/>
    <n v="0"/>
    <n v="826.53"/>
    <n v="3378.9830619999998"/>
    <n v="0"/>
    <n v="-308.82"/>
    <n v="6.58"/>
    <n v="985449.1"/>
    <n v="729210.20780199999"/>
    <n v="0"/>
    <n v="26"/>
    <n v="1"/>
    <n v="22"/>
    <n v="22"/>
    <n v="54"/>
    <n v="2.41"/>
    <n v="0"/>
    <n v="0"/>
    <n v="0"/>
    <n v="20.39"/>
    <n v="2975"/>
    <n v="1336000"/>
    <n v="1336000"/>
    <n v="1067042.8500000001"/>
    <n v="862"/>
    <n v="676"/>
    <n v="862"/>
  </r>
  <r>
    <n v="10"/>
    <x v="1"/>
    <n v="314"/>
    <s v="JOSE"/>
    <x v="0"/>
    <x v="0"/>
    <n v="105000"/>
    <n v="70"/>
    <n v="70"/>
    <n v="64068.19"/>
    <n v="47119.254308000003"/>
    <n v="0"/>
    <n v="26.45"/>
    <n v="19.43"/>
    <n v="675229.49"/>
    <n v="507872.78409500001"/>
    <n v="0"/>
    <n v="24.79"/>
    <n v="70"/>
    <n v="22"/>
    <n v="22"/>
    <n v="270"/>
    <n v="8.56"/>
    <n v="105000"/>
    <n v="1017.46"/>
    <n v="0"/>
    <n v="19.760000000000002"/>
    <n v="2975"/>
    <n v="678000"/>
    <n v="678000"/>
    <n v="478225.19"/>
    <n v="493"/>
    <n v="464"/>
    <n v="493"/>
  </r>
  <r>
    <n v="4"/>
    <x v="2"/>
    <n v="374"/>
    <s v="EDVALDO"/>
    <x v="0"/>
    <x v="0"/>
    <n v="0"/>
    <n v="0"/>
    <n v="0"/>
    <n v="0"/>
    <n v="809.89824899999996"/>
    <n v="0"/>
    <n v="0"/>
    <n v="1"/>
    <n v="589256.66"/>
    <n v="426378.094323"/>
    <n v="0"/>
    <n v="27.64"/>
    <n v="0"/>
    <n v="22"/>
    <n v="22"/>
    <n v="20"/>
    <n v="1.26"/>
    <n v="0"/>
    <n v="0"/>
    <n v="1"/>
    <n v="22.75"/>
    <n v="2975"/>
    <n v="755000"/>
    <n v="755000"/>
    <n v="615212.47"/>
    <n v="463"/>
    <n v="396"/>
    <n v="463"/>
  </r>
  <r>
    <n v="2"/>
    <x v="0"/>
    <n v="423"/>
    <s v="LENIVAL"/>
    <x v="0"/>
    <x v="0"/>
    <n v="115000"/>
    <n v="70"/>
    <n v="70"/>
    <n v="88490.34"/>
    <n v="64604.605154999997"/>
    <n v="0"/>
    <n v="26.99"/>
    <n v="18.61"/>
    <n v="985449.1"/>
    <n v="729210.20780199999"/>
    <n v="0"/>
    <n v="26"/>
    <n v="40"/>
    <n v="22"/>
    <n v="22"/>
    <n v="339"/>
    <n v="12.63"/>
    <n v="115000"/>
    <n v="783.48"/>
    <n v="1"/>
    <n v="20.39"/>
    <n v="2975"/>
    <n v="1336000"/>
    <n v="1336000"/>
    <n v="1067042.8500000001"/>
    <n v="862"/>
    <n v="676"/>
    <n v="862"/>
  </r>
  <r>
    <n v="6"/>
    <x v="3"/>
    <n v="465"/>
    <s v="FELIPE"/>
    <x v="0"/>
    <x v="0"/>
    <n v="95000"/>
    <n v="82"/>
    <n v="82"/>
    <n v="81005.62"/>
    <n v="61725.815557000002"/>
    <n v="0"/>
    <n v="23.8"/>
    <n v="14.72"/>
    <n v="595843.36"/>
    <n v="450944.50232500001"/>
    <n v="0"/>
    <n v="24.32"/>
    <n v="82"/>
    <n v="22"/>
    <n v="22"/>
    <n v="200"/>
    <n v="6.8"/>
    <n v="95000"/>
    <n v="495.95"/>
    <n v="1"/>
    <n v="19.489999999999998"/>
    <n v="2975"/>
    <n v="1051000"/>
    <n v="1051000"/>
    <n v="798720.49"/>
    <n v="908"/>
    <n v="697"/>
    <n v="908"/>
  </r>
  <r>
    <n v="6"/>
    <x v="3"/>
    <n v="481"/>
    <s v="LUIZ"/>
    <x v="0"/>
    <x v="0"/>
    <n v="46000"/>
    <n v="40"/>
    <n v="40"/>
    <n v="30708.400000000001"/>
    <n v="23698.398101999999"/>
    <n v="0"/>
    <n v="22.83"/>
    <n v="27.3"/>
    <n v="595843.36"/>
    <n v="450944.50232500001"/>
    <n v="0"/>
    <n v="24.32"/>
    <n v="30"/>
    <n v="22"/>
    <n v="22"/>
    <n v="183"/>
    <n v="6.39"/>
    <n v="46000"/>
    <n v="409.2"/>
    <n v="1"/>
    <n v="19.489999999999998"/>
    <n v="2975"/>
    <n v="1051000"/>
    <n v="1051000"/>
    <n v="798720.49"/>
    <n v="908"/>
    <n v="697"/>
    <n v="908"/>
  </r>
  <r>
    <n v="2"/>
    <x v="0"/>
    <n v="520"/>
    <s v="AILTON"/>
    <x v="0"/>
    <x v="0"/>
    <n v="115000"/>
    <n v="69"/>
    <n v="69"/>
    <n v="61143.63"/>
    <n v="44093.083271000003"/>
    <n v="0"/>
    <n v="27.89"/>
    <n v="27.27"/>
    <n v="985449.1"/>
    <n v="729210.20780199999"/>
    <n v="0"/>
    <n v="26"/>
    <n v="33"/>
    <n v="22"/>
    <n v="22"/>
    <n v="203"/>
    <n v="12.13"/>
    <n v="115000"/>
    <n v="12738.08"/>
    <n v="0"/>
    <n v="20.39"/>
    <n v="2975"/>
    <n v="1336000"/>
    <n v="1336000"/>
    <n v="1067042.8500000001"/>
    <n v="862"/>
    <n v="676"/>
    <n v="862"/>
  </r>
  <r>
    <n v="2"/>
    <x v="0"/>
    <n v="577"/>
    <s v="NELITON"/>
    <x v="0"/>
    <x v="0"/>
    <n v="105000"/>
    <n v="15"/>
    <n v="15"/>
    <n v="62596.04"/>
    <n v="45989.914885999999"/>
    <n v="0"/>
    <n v="26.53"/>
    <n v="18.61"/>
    <n v="985449.1"/>
    <n v="729210.20780199999"/>
    <n v="0"/>
    <n v="26"/>
    <n v="6"/>
    <n v="22"/>
    <n v="22"/>
    <n v="101"/>
    <n v="10.89"/>
    <n v="105000"/>
    <n v="0"/>
    <n v="1"/>
    <n v="20.39"/>
    <n v="2975"/>
    <n v="1336000"/>
    <n v="1336000"/>
    <n v="1067042.8500000001"/>
    <n v="862"/>
    <n v="676"/>
    <n v="862"/>
  </r>
  <r>
    <n v="6"/>
    <x v="3"/>
    <n v="644"/>
    <s v="LUCIANO"/>
    <x v="0"/>
    <x v="0"/>
    <n v="47000"/>
    <n v="25"/>
    <n v="25"/>
    <n v="0"/>
    <n v="2361.9383269999998"/>
    <n v="0"/>
    <n v="0"/>
    <n v="1"/>
    <n v="595843.36"/>
    <n v="450944.50232500001"/>
    <n v="0"/>
    <n v="24.32"/>
    <n v="0"/>
    <n v="22"/>
    <n v="22"/>
    <n v="30"/>
    <n v="2.77"/>
    <n v="47000"/>
    <n v="0"/>
    <n v="0"/>
    <n v="19.489999999999998"/>
    <n v="2975"/>
    <n v="1051000"/>
    <n v="1051000"/>
    <n v="798720.49"/>
    <n v="908"/>
    <n v="697"/>
    <n v="908"/>
  </r>
  <r>
    <n v="26"/>
    <x v="4"/>
    <n v="661"/>
    <s v="LUCIO"/>
    <x v="0"/>
    <x v="0"/>
    <n v="115000"/>
    <n v="88"/>
    <n v="88"/>
    <n v="69237.33"/>
    <n v="52566.377969000001"/>
    <n v="0"/>
    <n v="24.08"/>
    <n v="22.22"/>
    <n v="538753.56999999995"/>
    <n v="415241.03464700002"/>
    <n v="0"/>
    <n v="22.93"/>
    <n v="58"/>
    <n v="22"/>
    <n v="22"/>
    <n v="215"/>
    <n v="8.07"/>
    <n v="115000"/>
    <n v="1142.1500000000001"/>
    <n v="0"/>
    <n v="23.52"/>
    <n v="2975"/>
    <n v="878000"/>
    <n v="878000"/>
    <n v="606537.78"/>
    <n v="651"/>
    <n v="568"/>
    <n v="651"/>
  </r>
  <r>
    <n v="2"/>
    <x v="0"/>
    <n v="690"/>
    <s v="MARCIO"/>
    <x v="0"/>
    <x v="0"/>
    <n v="110000"/>
    <n v="90"/>
    <n v="90"/>
    <n v="131618.5"/>
    <n v="96576.184372000003"/>
    <n v="0"/>
    <n v="26.62"/>
    <n v="20.68"/>
    <n v="985449.1"/>
    <n v="729210.20780199999"/>
    <n v="0"/>
    <n v="26"/>
    <n v="92"/>
    <n v="22"/>
    <n v="22"/>
    <n v="407"/>
    <n v="16.25"/>
    <n v="110000"/>
    <n v="652.99"/>
    <n v="1"/>
    <n v="20.39"/>
    <n v="2975"/>
    <n v="1336000"/>
    <n v="1336000"/>
    <n v="1067042.8500000001"/>
    <n v="862"/>
    <n v="676"/>
    <n v="862"/>
  </r>
  <r>
    <n v="26"/>
    <x v="4"/>
    <n v="705"/>
    <s v="HENRIQUERSON"/>
    <x v="0"/>
    <x v="0"/>
    <n v="112000"/>
    <n v="35"/>
    <n v="35"/>
    <n v="68553.100000000006"/>
    <n v="54464.694401000001"/>
    <n v="0"/>
    <n v="20.55"/>
    <n v="26.76"/>
    <n v="538753.56999999995"/>
    <n v="415241.03464700002"/>
    <n v="0"/>
    <n v="22.93"/>
    <n v="28"/>
    <n v="22"/>
    <n v="22"/>
    <n v="372"/>
    <n v="14.32"/>
    <n v="112000"/>
    <n v="0"/>
    <n v="0"/>
    <n v="23.52"/>
    <n v="2975"/>
    <n v="878000"/>
    <n v="878000"/>
    <n v="606537.78"/>
    <n v="651"/>
    <n v="568"/>
    <n v="651"/>
  </r>
  <r>
    <n v="6"/>
    <x v="3"/>
    <n v="746"/>
    <s v="LUANA"/>
    <x v="0"/>
    <x v="0"/>
    <n v="105000"/>
    <n v="60"/>
    <n v="60"/>
    <n v="53266.9"/>
    <n v="40068.478342000002"/>
    <n v="0"/>
    <n v="24.78"/>
    <n v="24.66"/>
    <n v="595843.36"/>
    <n v="450944.50232500001"/>
    <n v="0"/>
    <n v="24.32"/>
    <n v="33"/>
    <n v="22"/>
    <n v="22"/>
    <n v="240"/>
    <n v="10.18"/>
    <n v="105000"/>
    <n v="11.4"/>
    <n v="0"/>
    <n v="19.489999999999998"/>
    <n v="2975"/>
    <n v="1051000"/>
    <n v="1051000"/>
    <n v="798720.49"/>
    <n v="908"/>
    <n v="697"/>
    <n v="908"/>
  </r>
  <r>
    <n v="2"/>
    <x v="0"/>
    <n v="756"/>
    <s v="EDERLEI"/>
    <x v="0"/>
    <x v="0"/>
    <n v="110000"/>
    <n v="65"/>
    <n v="65"/>
    <n v="50191.12"/>
    <n v="38772.006055999998"/>
    <n v="0"/>
    <n v="22.75"/>
    <n v="20.72"/>
    <n v="985449.1"/>
    <n v="729210.20780199999"/>
    <n v="0"/>
    <n v="26"/>
    <n v="47"/>
    <n v="22"/>
    <n v="22"/>
    <n v="260"/>
    <n v="10.1"/>
    <n v="110000"/>
    <n v="0"/>
    <n v="0"/>
    <n v="20.39"/>
    <n v="2975"/>
    <n v="1336000"/>
    <n v="1336000"/>
    <n v="1067042.8500000001"/>
    <n v="862"/>
    <n v="676"/>
    <n v="862"/>
  </r>
  <r>
    <n v="26"/>
    <x v="4"/>
    <n v="759"/>
    <s v="FRANCISCA"/>
    <x v="0"/>
    <x v="0"/>
    <n v="52000"/>
    <n v="49"/>
    <n v="49"/>
    <n v="43609.37"/>
    <n v="33383.132893000002"/>
    <n v="0"/>
    <n v="23.45"/>
    <n v="18.98"/>
    <n v="538753.56999999995"/>
    <n v="415241.03464700002"/>
    <n v="0"/>
    <n v="22.93"/>
    <n v="51"/>
    <n v="22"/>
    <n v="22"/>
    <n v="248"/>
    <n v="9.3000000000000007"/>
    <n v="52000"/>
    <n v="73.349999999999994"/>
    <n v="1"/>
    <n v="23.52"/>
    <n v="2975"/>
    <n v="878000"/>
    <n v="878000"/>
    <n v="606537.78"/>
    <n v="651"/>
    <n v="568"/>
    <n v="651"/>
  </r>
  <r>
    <n v="5"/>
    <x v="5"/>
    <n v="760"/>
    <s v="JEAN"/>
    <x v="0"/>
    <x v="0"/>
    <n v="160000"/>
    <n v="30"/>
    <n v="30"/>
    <n v="111460.91"/>
    <n v="83198.135418999998"/>
    <n v="0"/>
    <n v="25.36"/>
    <n v="41.55"/>
    <n v="283650.64"/>
    <n v="214409.30452199999"/>
    <n v="0"/>
    <n v="24.41"/>
    <n v="31"/>
    <n v="22"/>
    <n v="22"/>
    <n v="98"/>
    <n v="5.0999999999999996"/>
    <n v="160000"/>
    <n v="2955.02"/>
    <n v="0"/>
    <n v="24.18"/>
    <n v="2975"/>
    <n v="570000"/>
    <n v="570000"/>
    <n v="257322.78"/>
    <n v="340"/>
    <n v="127"/>
    <n v="340"/>
  </r>
  <r>
    <n v="6"/>
    <x v="3"/>
    <n v="764"/>
    <s v="JORGE"/>
    <x v="0"/>
    <x v="0"/>
    <n v="109000"/>
    <n v="83"/>
    <n v="83"/>
    <n v="110394.39"/>
    <n v="83404.355104999995"/>
    <n v="0"/>
    <n v="24.45"/>
    <n v="19.079999999999998"/>
    <n v="595843.36"/>
    <n v="450944.50232500001"/>
    <n v="0"/>
    <n v="24.32"/>
    <n v="77"/>
    <n v="22"/>
    <n v="22"/>
    <n v="613"/>
    <n v="15.68"/>
    <n v="109000"/>
    <n v="3238.74"/>
    <n v="1"/>
    <n v="19.489999999999998"/>
    <n v="2975"/>
    <n v="1051000"/>
    <n v="1051000"/>
    <n v="798720.49"/>
    <n v="908"/>
    <n v="697"/>
    <n v="908"/>
  </r>
  <r>
    <n v="2"/>
    <x v="0"/>
    <n v="774"/>
    <s v="MAURO"/>
    <x v="0"/>
    <x v="0"/>
    <n v="115000"/>
    <n v="80"/>
    <n v="80"/>
    <n v="119600.49"/>
    <n v="88667.856979000004"/>
    <n v="0"/>
    <n v="25.86"/>
    <n v="16.11"/>
    <n v="985449.1"/>
    <n v="729210.20780199999"/>
    <n v="0"/>
    <n v="26"/>
    <n v="83"/>
    <n v="22"/>
    <n v="22"/>
    <n v="332"/>
    <n v="11.13"/>
    <n v="115000"/>
    <n v="151.94999999999999"/>
    <n v="0"/>
    <n v="20.39"/>
    <n v="2975"/>
    <n v="1336000"/>
    <n v="1336000"/>
    <n v="1067042.8500000001"/>
    <n v="862"/>
    <n v="676"/>
    <n v="862"/>
  </r>
  <r>
    <n v="26"/>
    <x v="4"/>
    <n v="796"/>
    <s v="PEDRO"/>
    <x v="0"/>
    <x v="0"/>
    <n v="41000"/>
    <n v="2"/>
    <n v="2"/>
    <n v="31910.41"/>
    <n v="25011.417291000002"/>
    <n v="0"/>
    <n v="21.62"/>
    <n v="42.28"/>
    <n v="538753.56999999995"/>
    <n v="415241.03464700002"/>
    <n v="0"/>
    <n v="22.93"/>
    <n v="1"/>
    <n v="22"/>
    <n v="22"/>
    <n v="131"/>
    <n v="7.67"/>
    <n v="41000"/>
    <n v="205.23"/>
    <n v="0"/>
    <n v="23.52"/>
    <n v="2975"/>
    <n v="878000"/>
    <n v="878000"/>
    <n v="606537.78"/>
    <n v="651"/>
    <n v="568"/>
    <n v="651"/>
  </r>
  <r>
    <n v="2"/>
    <x v="0"/>
    <n v="817"/>
    <s v="GUTEMBERG"/>
    <x v="0"/>
    <x v="0"/>
    <n v="115000"/>
    <n v="70"/>
    <n v="70"/>
    <n v="115904.7"/>
    <n v="84978.551691999994"/>
    <n v="0"/>
    <n v="26.68"/>
    <n v="21.77"/>
    <n v="985449.1"/>
    <n v="729210.20780199999"/>
    <n v="0"/>
    <n v="26"/>
    <n v="70"/>
    <n v="22"/>
    <n v="22"/>
    <n v="371"/>
    <n v="12.91"/>
    <n v="115000"/>
    <n v="713.81"/>
    <n v="1"/>
    <n v="20.39"/>
    <n v="2975"/>
    <n v="1336000"/>
    <n v="1336000"/>
    <n v="1067042.8500000001"/>
    <n v="862"/>
    <n v="676"/>
    <n v="862"/>
  </r>
  <r>
    <n v="12"/>
    <x v="6"/>
    <n v="853"/>
    <s v="KELLY"/>
    <x v="0"/>
    <x v="0"/>
    <n v="60000"/>
    <n v="65"/>
    <n v="65"/>
    <n v="34413.230000000003"/>
    <n v="26302.422224999998"/>
    <n v="0"/>
    <n v="23.57"/>
    <n v="13.73"/>
    <n v="230629.95"/>
    <n v="175794.35781799999"/>
    <n v="0"/>
    <n v="23.78"/>
    <n v="47"/>
    <n v="22"/>
    <n v="22"/>
    <n v="259"/>
    <n v="11.29"/>
    <n v="60000"/>
    <n v="654.76"/>
    <n v="1"/>
    <n v="28.96"/>
    <n v="2975"/>
    <n v="700000"/>
    <n v="700000"/>
    <n v="256957.81"/>
    <n v="785"/>
    <n v="326"/>
    <n v="785"/>
  </r>
  <r>
    <n v="12"/>
    <x v="6"/>
    <n v="884"/>
    <s v="JOILSON"/>
    <x v="0"/>
    <x v="0"/>
    <n v="0"/>
    <n v="0"/>
    <n v="0"/>
    <n v="0"/>
    <n v="830.20456899999999"/>
    <n v="0"/>
    <n v="0"/>
    <n v="1"/>
    <n v="230629.95"/>
    <n v="175794.35781799999"/>
    <n v="0"/>
    <n v="23.78"/>
    <n v="0"/>
    <n v="22"/>
    <n v="22"/>
    <n v="13"/>
    <n v="3.25"/>
    <n v="0"/>
    <n v="0"/>
    <n v="0"/>
    <n v="28.96"/>
    <n v="2975"/>
    <n v="700000"/>
    <n v="700000"/>
    <n v="256957.81"/>
    <n v="785"/>
    <n v="326"/>
    <n v="785"/>
  </r>
  <r>
    <n v="10"/>
    <x v="1"/>
    <n v="922"/>
    <s v="SILVANA"/>
    <x v="0"/>
    <x v="0"/>
    <n v="59000"/>
    <n v="68"/>
    <n v="68"/>
    <n v="60139.92"/>
    <n v="44668.264955999999"/>
    <n v="0"/>
    <n v="25.73"/>
    <n v="15.86"/>
    <n v="675229.49"/>
    <n v="507872.78409500001"/>
    <n v="0"/>
    <n v="24.79"/>
    <n v="73"/>
    <n v="22"/>
    <n v="22"/>
    <n v="487"/>
    <n v="12.61"/>
    <n v="59000"/>
    <n v="0"/>
    <n v="1"/>
    <n v="19.760000000000002"/>
    <n v="2975"/>
    <n v="678000"/>
    <n v="678000"/>
    <n v="478225.19"/>
    <n v="493"/>
    <n v="464"/>
    <n v="493"/>
  </r>
  <r>
    <n v="4"/>
    <x v="2"/>
    <n v="949"/>
    <s v="JOCINELMA"/>
    <x v="0"/>
    <x v="0"/>
    <n v="115000"/>
    <n v="60"/>
    <n v="60"/>
    <n v="75318"/>
    <n v="55105.925321000002"/>
    <n v="0"/>
    <n v="26.84"/>
    <n v="22.74"/>
    <n v="589256.66"/>
    <n v="426378.094323"/>
    <n v="0"/>
    <n v="27.64"/>
    <n v="47"/>
    <n v="22"/>
    <n v="22"/>
    <n v="585"/>
    <n v="17.28"/>
    <n v="115000"/>
    <n v="0"/>
    <n v="0"/>
    <n v="22.75"/>
    <n v="2975"/>
    <n v="755000"/>
    <n v="755000"/>
    <n v="615212.47"/>
    <n v="463"/>
    <n v="396"/>
    <n v="463"/>
  </r>
  <r>
    <n v="26"/>
    <x v="4"/>
    <n v="950"/>
    <s v="PEDRO"/>
    <x v="0"/>
    <x v="0"/>
    <n v="39000"/>
    <n v="46"/>
    <n v="46"/>
    <n v="42230.97"/>
    <n v="33347.527266999998"/>
    <n v="0"/>
    <n v="21.04"/>
    <n v="26.77"/>
    <n v="538753.56999999995"/>
    <n v="415241.03464700002"/>
    <n v="0"/>
    <n v="22.93"/>
    <n v="46"/>
    <n v="22"/>
    <n v="22"/>
    <n v="285"/>
    <n v="9.4499999999999993"/>
    <n v="39000"/>
    <n v="0"/>
    <n v="1"/>
    <n v="23.52"/>
    <n v="2975"/>
    <n v="878000"/>
    <n v="878000"/>
    <n v="606537.78"/>
    <n v="651"/>
    <n v="568"/>
    <n v="651"/>
  </r>
  <r>
    <n v="6"/>
    <x v="3"/>
    <n v="953"/>
    <s v="MANOEL"/>
    <x v="0"/>
    <x v="0"/>
    <n v="25000"/>
    <n v="25"/>
    <n v="25"/>
    <n v="9707.69"/>
    <n v="7166.9546879999998"/>
    <n v="0"/>
    <n v="26.17"/>
    <n v="21.48"/>
    <n v="595843.36"/>
    <n v="450944.50232500001"/>
    <n v="0"/>
    <n v="24.32"/>
    <n v="12"/>
    <n v="22"/>
    <n v="22"/>
    <n v="113"/>
    <n v="13"/>
    <n v="25000"/>
    <n v="0"/>
    <n v="0"/>
    <n v="19.489999999999998"/>
    <n v="2975"/>
    <n v="1051000"/>
    <n v="1051000"/>
    <n v="798720.49"/>
    <n v="908"/>
    <n v="697"/>
    <n v="908"/>
  </r>
  <r>
    <n v="26"/>
    <x v="4"/>
    <n v="962"/>
    <s v="ROMARIO"/>
    <x v="0"/>
    <x v="0"/>
    <n v="50000"/>
    <n v="49"/>
    <n v="49"/>
    <n v="53570.79"/>
    <n v="40831.187153999999"/>
    <n v="0"/>
    <n v="23.78"/>
    <n v="19.48"/>
    <n v="538753.56999999995"/>
    <n v="415241.03464700002"/>
    <n v="0"/>
    <n v="22.93"/>
    <n v="50"/>
    <n v="22"/>
    <n v="22"/>
    <n v="473"/>
    <n v="13.23"/>
    <n v="50000"/>
    <n v="0"/>
    <n v="1"/>
    <n v="23.52"/>
    <n v="2975"/>
    <n v="878000"/>
    <n v="878000"/>
    <n v="606537.78"/>
    <n v="651"/>
    <n v="568"/>
    <n v="651"/>
  </r>
  <r>
    <n v="4"/>
    <x v="2"/>
    <n v="977"/>
    <s v="EVERTON"/>
    <x v="0"/>
    <x v="0"/>
    <n v="150000"/>
    <n v="104"/>
    <n v="104"/>
    <n v="167236.79999999999"/>
    <n v="119376.049449"/>
    <n v="0"/>
    <n v="28.62"/>
    <n v="23.38"/>
    <n v="589256.66"/>
    <n v="426378.094323"/>
    <n v="0"/>
    <n v="27.64"/>
    <n v="85"/>
    <n v="22"/>
    <n v="22"/>
    <n v="858"/>
    <n v="21.18"/>
    <n v="150000"/>
    <n v="0"/>
    <n v="0"/>
    <n v="22.75"/>
    <n v="2975"/>
    <n v="755000"/>
    <n v="755000"/>
    <n v="615212.47"/>
    <n v="463"/>
    <n v="396"/>
    <n v="463"/>
  </r>
  <r>
    <n v="6"/>
    <x v="3"/>
    <n v="983"/>
    <s v="CRISTIELLEN"/>
    <x v="0"/>
    <x v="0"/>
    <n v="104000"/>
    <n v="106"/>
    <n v="106"/>
    <n v="11036.35"/>
    <n v="8643.6675869999999"/>
    <n v="0"/>
    <n v="21.68"/>
    <n v="22.97"/>
    <n v="595843.36"/>
    <n v="450944.50232500001"/>
    <n v="0"/>
    <n v="24.32"/>
    <n v="10"/>
    <n v="22"/>
    <n v="22"/>
    <n v="125"/>
    <n v="7.62"/>
    <n v="104000"/>
    <n v="0"/>
    <n v="1"/>
    <n v="19.489999999999998"/>
    <n v="2975"/>
    <n v="1051000"/>
    <n v="1051000"/>
    <n v="798720.49"/>
    <n v="908"/>
    <n v="697"/>
    <n v="908"/>
  </r>
  <r>
    <n v="5"/>
    <x v="5"/>
    <n v="1004"/>
    <s v="JAQUELINE"/>
    <x v="0"/>
    <x v="0"/>
    <n v="130000"/>
    <n v="70"/>
    <n v="70"/>
    <n v="107791.53"/>
    <n v="80238.154938000007"/>
    <n v="0"/>
    <n v="25.56"/>
    <n v="34.96"/>
    <n v="283650.64"/>
    <n v="214409.30452199999"/>
    <n v="0"/>
    <n v="24.41"/>
    <n v="55"/>
    <n v="22"/>
    <n v="22"/>
    <n v="430"/>
    <n v="14.81"/>
    <n v="130000"/>
    <n v="800.79"/>
    <n v="0"/>
    <n v="24.18"/>
    <n v="2975"/>
    <n v="570000"/>
    <n v="570000"/>
    <n v="257322.78"/>
    <n v="340"/>
    <n v="127"/>
    <n v="340"/>
  </r>
  <r>
    <n v="26"/>
    <x v="4"/>
    <n v="1023"/>
    <s v="JOSINILDO"/>
    <x v="0"/>
    <x v="0"/>
    <n v="100000"/>
    <n v="79"/>
    <n v="79"/>
    <n v="57113.62"/>
    <n v="42228.009188000004"/>
    <n v="0"/>
    <n v="26.06"/>
    <n v="19.96"/>
    <n v="538753.56999999995"/>
    <n v="415241.03464700002"/>
    <n v="0"/>
    <n v="22.93"/>
    <n v="49"/>
    <n v="22"/>
    <n v="22"/>
    <n v="348"/>
    <n v="10.130000000000001"/>
    <n v="100000"/>
    <n v="9169.83"/>
    <n v="0"/>
    <n v="23.52"/>
    <n v="2975"/>
    <n v="878000"/>
    <n v="878000"/>
    <n v="606537.78"/>
    <n v="651"/>
    <n v="568"/>
    <n v="651"/>
  </r>
  <r>
    <n v="12"/>
    <x v="6"/>
    <n v="1036"/>
    <s v="LUIZ"/>
    <x v="0"/>
    <x v="0"/>
    <n v="50000"/>
    <n v="60"/>
    <n v="60"/>
    <n v="0"/>
    <n v="0"/>
    <n v="0"/>
    <n v="0"/>
    <n v="0"/>
    <n v="230629.95"/>
    <n v="175794.35781799999"/>
    <n v="0"/>
    <n v="23.78"/>
    <n v="0"/>
    <n v="22"/>
    <n v="22"/>
    <n v="0"/>
    <n v="0"/>
    <n v="50000"/>
    <n v="0"/>
    <n v="0"/>
    <n v="28.96"/>
    <n v="2975"/>
    <n v="700000"/>
    <n v="700000"/>
    <n v="256957.81"/>
    <n v="785"/>
    <n v="326"/>
    <n v="785"/>
  </r>
  <r>
    <n v="12"/>
    <x v="6"/>
    <n v="1068"/>
    <s v="AMARO"/>
    <x v="0"/>
    <x v="0"/>
    <n v="70000"/>
    <n v="65"/>
    <n v="65"/>
    <n v="46872.480000000003"/>
    <n v="36668.124293000001"/>
    <n v="0"/>
    <n v="21.77"/>
    <n v="18.440000000000001"/>
    <n v="230629.95"/>
    <n v="175794.35781799999"/>
    <n v="0"/>
    <n v="23.78"/>
    <n v="47"/>
    <n v="22"/>
    <n v="22"/>
    <n v="354"/>
    <n v="11.53"/>
    <n v="70000"/>
    <n v="491.76"/>
    <n v="0"/>
    <n v="28.96"/>
    <n v="2975"/>
    <n v="700000"/>
    <n v="700000"/>
    <n v="256957.81"/>
    <n v="785"/>
    <n v="326"/>
    <n v="785"/>
  </r>
  <r>
    <n v="5"/>
    <x v="5"/>
    <n v="1125"/>
    <s v="JOSE"/>
    <x v="0"/>
    <x v="0"/>
    <n v="80000"/>
    <n v="20"/>
    <n v="20"/>
    <n v="25174.62"/>
    <n v="18692.194124000001"/>
    <n v="0"/>
    <n v="25.75"/>
    <n v="33.799999999999997"/>
    <n v="283650.64"/>
    <n v="214409.30452199999"/>
    <n v="0"/>
    <n v="24.41"/>
    <n v="15"/>
    <n v="22"/>
    <n v="22"/>
    <n v="18"/>
    <n v="5"/>
    <n v="80000"/>
    <n v="654"/>
    <n v="0"/>
    <n v="24.18"/>
    <n v="2975"/>
    <n v="570000"/>
    <n v="570000"/>
    <n v="257322.78"/>
    <n v="340"/>
    <n v="127"/>
    <n v="340"/>
  </r>
  <r>
    <n v="20"/>
    <x v="7"/>
    <n v="1155"/>
    <s v="HERNEN"/>
    <x v="0"/>
    <x v="0"/>
    <n v="25000"/>
    <n v="15"/>
    <n v="15"/>
    <n v="0"/>
    <n v="320.87508300000002"/>
    <n v="0"/>
    <n v="0"/>
    <n v="1"/>
    <n v="357495.26"/>
    <n v="269497.492899"/>
    <n v="0"/>
    <n v="24.62"/>
    <n v="0"/>
    <n v="22"/>
    <n v="22"/>
    <n v="7"/>
    <n v="1.4"/>
    <n v="25000"/>
    <n v="0"/>
    <n v="0"/>
    <n v="32.26"/>
    <n v="2975"/>
    <n v="336000"/>
    <n v="336000"/>
    <n v="126500.95"/>
    <n v="285"/>
    <n v="122"/>
    <n v="285"/>
  </r>
  <r>
    <n v="5"/>
    <x v="5"/>
    <n v="1158"/>
    <s v="CLEITON"/>
    <x v="0"/>
    <x v="0"/>
    <n v="80000"/>
    <n v="80"/>
    <n v="80"/>
    <n v="0"/>
    <n v="135.39870199999999"/>
    <n v="0"/>
    <n v="0"/>
    <n v="1"/>
    <n v="283650.64"/>
    <n v="214409.30452199999"/>
    <n v="0"/>
    <n v="24.41"/>
    <n v="0"/>
    <n v="22"/>
    <n v="22"/>
    <n v="9"/>
    <n v="1.8"/>
    <n v="80000"/>
    <n v="0"/>
    <n v="0"/>
    <n v="24.18"/>
    <n v="2975"/>
    <n v="570000"/>
    <n v="570000"/>
    <n v="257322.78"/>
    <n v="340"/>
    <n v="127"/>
    <n v="340"/>
  </r>
  <r>
    <n v="6"/>
    <x v="3"/>
    <n v="1171"/>
    <s v="EMANUEL"/>
    <x v="0"/>
    <x v="0"/>
    <n v="69000"/>
    <n v="62"/>
    <n v="62"/>
    <n v="124640.89"/>
    <n v="94618.619430999999"/>
    <n v="0"/>
    <n v="24.09"/>
    <n v="23.87"/>
    <n v="595843.36"/>
    <n v="450944.50232500001"/>
    <n v="0"/>
    <n v="24.32"/>
    <n v="62"/>
    <n v="22"/>
    <n v="22"/>
    <n v="764"/>
    <n v="23.06"/>
    <n v="69000"/>
    <n v="0"/>
    <n v="0"/>
    <n v="19.489999999999998"/>
    <n v="2975"/>
    <n v="1051000"/>
    <n v="1051000"/>
    <n v="798720.49"/>
    <n v="908"/>
    <n v="697"/>
    <n v="908"/>
  </r>
  <r>
    <n v="6"/>
    <x v="3"/>
    <n v="1237"/>
    <s v="MARCOS"/>
    <x v="0"/>
    <x v="0"/>
    <n v="84000"/>
    <n v="76"/>
    <n v="76"/>
    <n v="30526.799999999999"/>
    <n v="23021.159904"/>
    <n v="0"/>
    <n v="24.59"/>
    <n v="21.43"/>
    <n v="595843.36"/>
    <n v="450944.50232500001"/>
    <n v="0"/>
    <n v="24.32"/>
    <n v="40"/>
    <n v="22"/>
    <n v="22"/>
    <n v="190"/>
    <n v="8.8000000000000007"/>
    <n v="84000"/>
    <n v="8024.35"/>
    <n v="0"/>
    <n v="19.489999999999998"/>
    <n v="2975"/>
    <n v="1051000"/>
    <n v="1051000"/>
    <n v="798720.49"/>
    <n v="908"/>
    <n v="697"/>
    <n v="908"/>
  </r>
  <r>
    <n v="26"/>
    <x v="4"/>
    <n v="1238"/>
    <s v="MARY"/>
    <x v="0"/>
    <x v="0"/>
    <n v="60000"/>
    <n v="13"/>
    <n v="13"/>
    <n v="807.67"/>
    <n v="667.04085999999995"/>
    <n v="0"/>
    <n v="17.41"/>
    <n v="10.78"/>
    <n v="538753.56999999995"/>
    <n v="415241.03464700002"/>
    <n v="0"/>
    <n v="22.93"/>
    <n v="2"/>
    <n v="22"/>
    <n v="22"/>
    <n v="2"/>
    <n v="1"/>
    <n v="60000"/>
    <n v="61"/>
    <n v="0"/>
    <n v="23.52"/>
    <n v="2975"/>
    <n v="878000"/>
    <n v="878000"/>
    <n v="606537.78"/>
    <n v="651"/>
    <n v="568"/>
    <n v="651"/>
  </r>
  <r>
    <n v="6"/>
    <x v="3"/>
    <n v="1241"/>
    <s v="JEAN"/>
    <x v="0"/>
    <x v="0"/>
    <n v="90000"/>
    <n v="80"/>
    <n v="80"/>
    <n v="66158.7"/>
    <n v="49143.687480000001"/>
    <n v="0"/>
    <n v="25.72"/>
    <n v="22.06"/>
    <n v="595843.36"/>
    <n v="450944.50232500001"/>
    <n v="0"/>
    <n v="24.32"/>
    <n v="58"/>
    <n v="22"/>
    <n v="22"/>
    <n v="570"/>
    <n v="15.16"/>
    <n v="90000"/>
    <n v="659.72"/>
    <n v="0"/>
    <n v="19.489999999999998"/>
    <n v="2975"/>
    <n v="1051000"/>
    <n v="1051000"/>
    <n v="798720.49"/>
    <n v="908"/>
    <n v="697"/>
    <n v="908"/>
  </r>
  <r>
    <n v="26"/>
    <x v="4"/>
    <n v="1265"/>
    <s v="SAMUEL"/>
    <x v="0"/>
    <x v="0"/>
    <n v="110000"/>
    <n v="89"/>
    <n v="89"/>
    <n v="88838.73"/>
    <n v="69667.062393"/>
    <n v="0"/>
    <n v="21.58"/>
    <n v="21.58"/>
    <n v="538753.56999999995"/>
    <n v="415241.03464700002"/>
    <n v="0"/>
    <n v="22.93"/>
    <n v="89"/>
    <n v="22"/>
    <n v="22"/>
    <n v="279"/>
    <n v="6.08"/>
    <n v="110000"/>
    <n v="4102.76"/>
    <n v="0"/>
    <n v="23.52"/>
    <n v="2975"/>
    <n v="878000"/>
    <n v="878000"/>
    <n v="606537.78"/>
    <n v="651"/>
    <n v="568"/>
    <n v="651"/>
  </r>
  <r>
    <n v="10"/>
    <x v="1"/>
    <n v="1271"/>
    <s v="ALISON"/>
    <x v="0"/>
    <x v="0"/>
    <n v="90000"/>
    <n v="70"/>
    <n v="70"/>
    <n v="66423.44"/>
    <n v="49494.046521999997"/>
    <n v="0"/>
    <n v="25.49"/>
    <n v="13.91"/>
    <n v="675229.49"/>
    <n v="507872.78409500001"/>
    <n v="0"/>
    <n v="24.79"/>
    <n v="70"/>
    <n v="22"/>
    <n v="22"/>
    <n v="507"/>
    <n v="11.05"/>
    <n v="90000"/>
    <n v="1192.5999999999999"/>
    <n v="3"/>
    <n v="19.760000000000002"/>
    <n v="2975"/>
    <n v="678000"/>
    <n v="678000"/>
    <n v="478225.19"/>
    <n v="493"/>
    <n v="464"/>
    <n v="493"/>
  </r>
  <r>
    <n v="2"/>
    <x v="0"/>
    <n v="1280"/>
    <s v="ARIANE"/>
    <x v="0"/>
    <x v="0"/>
    <n v="90000"/>
    <n v="60"/>
    <n v="60"/>
    <n v="91740.72"/>
    <n v="65888.760626999996"/>
    <n v="0"/>
    <n v="28.18"/>
    <n v="19.72"/>
    <n v="985449.1"/>
    <n v="729210.20780199999"/>
    <n v="0"/>
    <n v="26"/>
    <n v="48"/>
    <n v="22"/>
    <n v="22"/>
    <n v="707"/>
    <n v="19.03"/>
    <n v="90000"/>
    <n v="540.83000000000004"/>
    <n v="0"/>
    <n v="20.39"/>
    <n v="2975"/>
    <n v="1336000"/>
    <n v="1336000"/>
    <n v="1067042.8500000001"/>
    <n v="862"/>
    <n v="676"/>
    <n v="862"/>
  </r>
  <r>
    <n v="17"/>
    <x v="8"/>
    <n v="1292"/>
    <s v="EMANOEL"/>
    <x v="0"/>
    <x v="0"/>
    <n v="98000"/>
    <n v="54"/>
    <n v="54"/>
    <n v="70473.149999999994"/>
    <n v="48093.948924999997"/>
    <n v="0"/>
    <n v="31.76"/>
    <n v="23.41"/>
    <n v="278601.65000000002"/>
    <n v="197998.658257"/>
    <n v="0"/>
    <n v="28.93"/>
    <n v="34"/>
    <n v="22"/>
    <n v="22"/>
    <n v="388"/>
    <n v="17.239999999999998"/>
    <n v="98000"/>
    <n v="1723.86"/>
    <n v="1"/>
    <n v="23.78"/>
    <n v="2975"/>
    <n v="580000"/>
    <n v="580000"/>
    <n v="278601.65000000002"/>
    <n v="300"/>
    <n v="135"/>
    <n v="300"/>
  </r>
  <r>
    <n v="12"/>
    <x v="6"/>
    <n v="1330"/>
    <s v="LUIZ"/>
    <x v="0"/>
    <x v="0"/>
    <n v="60000"/>
    <n v="70"/>
    <n v="70"/>
    <n v="26371.4"/>
    <n v="20347.567677999999"/>
    <n v="0"/>
    <n v="22.84"/>
    <n v="11.37"/>
    <n v="230629.95"/>
    <n v="175794.35781799999"/>
    <n v="0"/>
    <n v="23.78"/>
    <n v="39"/>
    <n v="22"/>
    <n v="22"/>
    <n v="180"/>
    <n v="8.24"/>
    <n v="60000"/>
    <n v="730.29"/>
    <n v="0"/>
    <n v="28.96"/>
    <n v="2975"/>
    <n v="700000"/>
    <n v="700000"/>
    <n v="256957.81"/>
    <n v="785"/>
    <n v="326"/>
    <n v="785"/>
  </r>
  <r>
    <n v="26"/>
    <x v="4"/>
    <n v="1336"/>
    <s v="REGINALDO"/>
    <x v="0"/>
    <x v="0"/>
    <n v="55000"/>
    <n v="57"/>
    <n v="57"/>
    <n v="35594.42"/>
    <n v="26850.893230000001"/>
    <n v="0"/>
    <n v="24.56"/>
    <n v="11.31"/>
    <n v="538753.56999999995"/>
    <n v="415241.03464700002"/>
    <n v="0"/>
    <n v="22.93"/>
    <n v="57"/>
    <n v="22"/>
    <n v="22"/>
    <n v="293"/>
    <n v="11.44"/>
    <n v="55000"/>
    <n v="1280.6199999999999"/>
    <n v="0"/>
    <n v="23.52"/>
    <n v="2975"/>
    <n v="878000"/>
    <n v="878000"/>
    <n v="606537.78"/>
    <n v="651"/>
    <n v="568"/>
    <n v="651"/>
  </r>
  <r>
    <n v="17"/>
    <x v="8"/>
    <n v="1343"/>
    <s v="J.CRUZ"/>
    <x v="0"/>
    <x v="0"/>
    <n v="42000"/>
    <n v="1"/>
    <n v="1"/>
    <n v="31006.83"/>
    <n v="21050.765452"/>
    <n v="0"/>
    <n v="32.11"/>
    <n v="31.2"/>
    <n v="278601.65000000002"/>
    <n v="197998.658257"/>
    <n v="0"/>
    <n v="28.93"/>
    <n v="2"/>
    <n v="22"/>
    <n v="22"/>
    <n v="373"/>
    <n v="35.549999999999997"/>
    <n v="42000"/>
    <n v="0"/>
    <n v="0"/>
    <n v="23.78"/>
    <n v="2975"/>
    <n v="580000"/>
    <n v="580000"/>
    <n v="278601.65000000002"/>
    <n v="300"/>
    <n v="135"/>
    <n v="300"/>
  </r>
  <r>
    <n v="10"/>
    <x v="1"/>
    <n v="1359"/>
    <s v="HENRIQUE"/>
    <x v="0"/>
    <x v="0"/>
    <n v="80000"/>
    <n v="50"/>
    <n v="50"/>
    <n v="80732.070000000007"/>
    <n v="60974.538980999998"/>
    <n v="0"/>
    <n v="24.47"/>
    <n v="23.9"/>
    <n v="675229.49"/>
    <n v="507872.78409500001"/>
    <n v="0"/>
    <n v="24.79"/>
    <n v="52"/>
    <n v="22"/>
    <n v="22"/>
    <n v="383"/>
    <n v="13.71"/>
    <n v="80000"/>
    <n v="18.93"/>
    <n v="0"/>
    <n v="19.760000000000002"/>
    <n v="2975"/>
    <n v="678000"/>
    <n v="678000"/>
    <n v="478225.19"/>
    <n v="493"/>
    <n v="464"/>
    <n v="493"/>
  </r>
  <r>
    <n v="6"/>
    <x v="3"/>
    <n v="1385"/>
    <s v="ADAUTO"/>
    <x v="0"/>
    <x v="0"/>
    <n v="78000"/>
    <n v="77"/>
    <n v="77"/>
    <n v="91121.23"/>
    <n v="68709.164663000003"/>
    <n v="0"/>
    <n v="24.6"/>
    <n v="18.89"/>
    <n v="595843.36"/>
    <n v="450944.50232500001"/>
    <n v="0"/>
    <n v="24.32"/>
    <n v="82"/>
    <n v="22"/>
    <n v="22"/>
    <n v="604"/>
    <n v="16.059999999999999"/>
    <n v="78000"/>
    <n v="571.47"/>
    <n v="1"/>
    <n v="19.489999999999998"/>
    <n v="2975"/>
    <n v="1051000"/>
    <n v="1051000"/>
    <n v="798720.49"/>
    <n v="908"/>
    <n v="697"/>
    <n v="908"/>
  </r>
  <r>
    <n v="20"/>
    <x v="7"/>
    <n v="1387"/>
    <s v="JANDERSON"/>
    <x v="0"/>
    <x v="0"/>
    <n v="60000"/>
    <n v="45"/>
    <n v="45"/>
    <n v="25697.1"/>
    <n v="20327.383991999999"/>
    <n v="0"/>
    <n v="20.9"/>
    <n v="48.57"/>
    <n v="357495.26"/>
    <n v="269497.492899"/>
    <n v="0"/>
    <n v="24.62"/>
    <n v="15"/>
    <n v="22"/>
    <n v="22"/>
    <n v="76"/>
    <n v="4.9000000000000004"/>
    <n v="60000"/>
    <n v="3815.49"/>
    <n v="0"/>
    <n v="32.26"/>
    <n v="2975"/>
    <n v="336000"/>
    <n v="336000"/>
    <n v="126500.95"/>
    <n v="285"/>
    <n v="122"/>
    <n v="285"/>
  </r>
  <r>
    <n v="12"/>
    <x v="6"/>
    <n v="1390"/>
    <s v="ADINALVA"/>
    <x v="0"/>
    <x v="0"/>
    <n v="60000"/>
    <n v="60"/>
    <n v="60"/>
    <n v="30131.66"/>
    <n v="22236.663293000001"/>
    <n v="0"/>
    <n v="26.2"/>
    <n v="15.6"/>
    <n v="230629.95"/>
    <n v="175794.35781799999"/>
    <n v="0"/>
    <n v="23.78"/>
    <n v="44"/>
    <n v="22"/>
    <n v="22"/>
    <n v="261"/>
    <n v="11.45"/>
    <n v="60000"/>
    <n v="169.88"/>
    <n v="1"/>
    <n v="28.96"/>
    <n v="2975"/>
    <n v="700000"/>
    <n v="700000"/>
    <n v="256957.81"/>
    <n v="785"/>
    <n v="326"/>
    <n v="785"/>
  </r>
  <r>
    <n v="26"/>
    <x v="4"/>
    <n v="1394"/>
    <s v="WENDERSON"/>
    <x v="0"/>
    <x v="0"/>
    <n v="52000"/>
    <n v="64"/>
    <n v="64"/>
    <n v="52354.78"/>
    <n v="40053.425326999997"/>
    <n v="0"/>
    <n v="23.5"/>
    <n v="22.68"/>
    <n v="538753.56999999995"/>
    <n v="415241.03464700002"/>
    <n v="0"/>
    <n v="22.93"/>
    <n v="65"/>
    <n v="22"/>
    <n v="22"/>
    <n v="317"/>
    <n v="7.55"/>
    <n v="52000"/>
    <n v="59.48"/>
    <n v="1"/>
    <n v="23.52"/>
    <n v="2975"/>
    <n v="878000"/>
    <n v="878000"/>
    <n v="606537.78"/>
    <n v="651"/>
    <n v="568"/>
    <n v="651"/>
  </r>
  <r>
    <n v="17"/>
    <x v="8"/>
    <n v="1400"/>
    <s v="MARCELO"/>
    <x v="0"/>
    <x v="0"/>
    <n v="0"/>
    <n v="0"/>
    <n v="0"/>
    <n v="15116.99"/>
    <n v="10833.041085999999"/>
    <n v="0"/>
    <n v="28.34"/>
    <n v="23.8"/>
    <n v="278601.65000000002"/>
    <n v="197998.658257"/>
    <n v="0"/>
    <n v="28.93"/>
    <n v="14"/>
    <n v="22"/>
    <n v="22"/>
    <n v="168"/>
    <n v="15.86"/>
    <n v="0"/>
    <n v="0"/>
    <n v="0"/>
    <n v="23.78"/>
    <n v="2975"/>
    <n v="580000"/>
    <n v="580000"/>
    <n v="278601.65000000002"/>
    <n v="300"/>
    <n v="135"/>
    <n v="300"/>
  </r>
  <r>
    <n v="12"/>
    <x v="6"/>
    <n v="1402"/>
    <s v="CARLOS"/>
    <x v="0"/>
    <x v="0"/>
    <n v="52000"/>
    <n v="60"/>
    <n v="60"/>
    <n v="35491.96"/>
    <n v="26149.860999"/>
    <n v="0"/>
    <n v="26.32"/>
    <n v="19.510000000000002"/>
    <n v="230629.95"/>
    <n v="175794.35781799999"/>
    <n v="0"/>
    <n v="23.78"/>
    <n v="38"/>
    <n v="22"/>
    <n v="22"/>
    <n v="172"/>
    <n v="5.94"/>
    <n v="52000"/>
    <n v="1790.78"/>
    <n v="0"/>
    <n v="28.96"/>
    <n v="2975"/>
    <n v="700000"/>
    <n v="700000"/>
    <n v="256957.81"/>
    <n v="785"/>
    <n v="326"/>
    <n v="785"/>
  </r>
  <r>
    <n v="14"/>
    <x v="9"/>
    <n v="1413"/>
    <s v="DANILO"/>
    <x v="0"/>
    <x v="0"/>
    <n v="20000"/>
    <n v="15"/>
    <n v="15"/>
    <n v="1504.28"/>
    <n v="1581.8794829999999"/>
    <n v="0"/>
    <n v="-5.16"/>
    <n v="26.94"/>
    <n v="104076.27"/>
    <n v="75025.615919999997"/>
    <n v="0"/>
    <n v="27.91"/>
    <n v="1"/>
    <n v="22"/>
    <n v="22"/>
    <n v="18"/>
    <n v="2.5"/>
    <n v="20000"/>
    <n v="0"/>
    <n v="0"/>
    <n v="37.590000000000003"/>
    <n v="2975"/>
    <n v="135000"/>
    <n v="135000"/>
    <n v="78120.460000000006"/>
    <n v="120"/>
    <n v="60"/>
    <n v="120"/>
  </r>
  <r>
    <n v="20"/>
    <x v="7"/>
    <n v="1420"/>
    <s v="HERALDO"/>
    <x v="0"/>
    <x v="0"/>
    <n v="45000"/>
    <n v="40"/>
    <n v="40"/>
    <n v="15832.55"/>
    <n v="11744.380139000001"/>
    <n v="0"/>
    <n v="25.82"/>
    <n v="34.42"/>
    <n v="357495.26"/>
    <n v="269497.492899"/>
    <n v="0"/>
    <n v="24.62"/>
    <n v="22"/>
    <n v="22"/>
    <n v="22"/>
    <n v="122"/>
    <n v="7"/>
    <n v="45000"/>
    <n v="572.79999999999995"/>
    <n v="0"/>
    <n v="32.26"/>
    <n v="2975"/>
    <n v="336000"/>
    <n v="336000"/>
    <n v="126500.95"/>
    <n v="285"/>
    <n v="122"/>
    <n v="285"/>
  </r>
  <r>
    <n v="17"/>
    <x v="8"/>
    <n v="1431"/>
    <s v="MARCIO"/>
    <x v="0"/>
    <x v="0"/>
    <n v="165000"/>
    <n v="106"/>
    <n v="106"/>
    <n v="6531.84"/>
    <n v="5197.3166879999999"/>
    <n v="0"/>
    <n v="20.43"/>
    <n v="24.5"/>
    <n v="278601.65000000002"/>
    <n v="197998.658257"/>
    <n v="0"/>
    <n v="28.93"/>
    <n v="3"/>
    <n v="22"/>
    <n v="22"/>
    <n v="37"/>
    <n v="6.17"/>
    <n v="165000"/>
    <n v="0"/>
    <n v="0"/>
    <n v="23.78"/>
    <n v="2975"/>
    <n v="580000"/>
    <n v="580000"/>
    <n v="278601.65000000002"/>
    <n v="300"/>
    <n v="135"/>
    <n v="300"/>
  </r>
  <r>
    <n v="12"/>
    <x v="6"/>
    <n v="1434"/>
    <s v="LOURIVAL"/>
    <x v="0"/>
    <x v="0"/>
    <n v="0"/>
    <n v="0"/>
    <n v="0"/>
    <n v="151.97999999999999"/>
    <n v="113.7606"/>
    <n v="0"/>
    <n v="25.15"/>
    <n v="1"/>
    <n v="230629.95"/>
    <n v="175794.35781799999"/>
    <n v="0"/>
    <n v="23.78"/>
    <n v="1"/>
    <n v="22"/>
    <n v="22"/>
    <n v="1"/>
    <n v="1"/>
    <n v="0"/>
    <n v="0"/>
    <n v="0"/>
    <n v="28.96"/>
    <n v="2975"/>
    <n v="700000"/>
    <n v="700000"/>
    <n v="256957.81"/>
    <n v="785"/>
    <n v="326"/>
    <n v="785"/>
  </r>
  <r>
    <n v="17"/>
    <x v="8"/>
    <n v="1437"/>
    <s v="CHRYSTIAN"/>
    <x v="0"/>
    <x v="0"/>
    <n v="95000"/>
    <n v="52"/>
    <n v="52"/>
    <n v="33146.870000000003"/>
    <n v="25510.460276000002"/>
    <n v="0"/>
    <n v="23.04"/>
    <n v="26.72"/>
    <n v="278601.65000000002"/>
    <n v="197998.658257"/>
    <n v="0"/>
    <n v="28.93"/>
    <n v="17"/>
    <n v="22"/>
    <n v="22"/>
    <n v="147"/>
    <n v="11.92"/>
    <n v="95000"/>
    <n v="364.96"/>
    <n v="0"/>
    <n v="23.78"/>
    <n v="2975"/>
    <n v="580000"/>
    <n v="580000"/>
    <n v="278601.65000000002"/>
    <n v="300"/>
    <n v="135"/>
    <n v="300"/>
  </r>
  <r>
    <n v="10"/>
    <x v="1"/>
    <n v="1450"/>
    <s v="INGRID"/>
    <x v="0"/>
    <x v="0"/>
    <n v="85000"/>
    <n v="65"/>
    <n v="65"/>
    <n v="78257.41"/>
    <n v="59187.777225999998"/>
    <n v="0"/>
    <n v="24.37"/>
    <n v="23.37"/>
    <n v="675229.49"/>
    <n v="507872.78409500001"/>
    <n v="0"/>
    <n v="24.79"/>
    <n v="70"/>
    <n v="22"/>
    <n v="22"/>
    <n v="629"/>
    <n v="19.100000000000001"/>
    <n v="85000"/>
    <n v="203.11"/>
    <n v="0"/>
    <n v="19.760000000000002"/>
    <n v="2975"/>
    <n v="678000"/>
    <n v="678000"/>
    <n v="478225.19"/>
    <n v="493"/>
    <n v="464"/>
    <n v="493"/>
  </r>
  <r>
    <n v="2"/>
    <x v="0"/>
    <n v="1457"/>
    <s v="JOSE"/>
    <x v="0"/>
    <x v="0"/>
    <n v="90000"/>
    <n v="69"/>
    <n v="69"/>
    <n v="90889.33"/>
    <n v="67845.138833999998"/>
    <n v="0"/>
    <n v="25.35"/>
    <n v="24.51"/>
    <n v="985449.1"/>
    <n v="729210.20780199999"/>
    <n v="0"/>
    <n v="26"/>
    <n v="71"/>
    <n v="22"/>
    <n v="22"/>
    <n v="467"/>
    <n v="13.66"/>
    <n v="90000"/>
    <n v="22.1"/>
    <n v="0"/>
    <n v="20.39"/>
    <n v="2975"/>
    <n v="1336000"/>
    <n v="1336000"/>
    <n v="1067042.8500000001"/>
    <n v="862"/>
    <n v="676"/>
    <n v="862"/>
  </r>
  <r>
    <n v="6"/>
    <x v="3"/>
    <n v="1466"/>
    <s v="ARTHUR"/>
    <x v="0"/>
    <x v="0"/>
    <n v="55000"/>
    <n v="48"/>
    <n v="48"/>
    <n v="64223.48"/>
    <n v="49713.625747999999"/>
    <n v="0"/>
    <n v="22.59"/>
    <n v="16.48"/>
    <n v="595843.36"/>
    <n v="450944.50232500001"/>
    <n v="0"/>
    <n v="24.32"/>
    <n v="49"/>
    <n v="22"/>
    <n v="22"/>
    <n v="504"/>
    <n v="16.27"/>
    <n v="55000"/>
    <n v="259.48"/>
    <n v="0"/>
    <n v="19.489999999999998"/>
    <n v="2975"/>
    <n v="1051000"/>
    <n v="1051000"/>
    <n v="798720.49"/>
    <n v="908"/>
    <n v="697"/>
    <n v="908"/>
  </r>
  <r>
    <n v="4"/>
    <x v="2"/>
    <n v="1473"/>
    <s v="EDER"/>
    <x v="0"/>
    <x v="0"/>
    <n v="120000"/>
    <n v="80"/>
    <n v="80"/>
    <n v="83422.84"/>
    <n v="61245.710252999997"/>
    <n v="0"/>
    <n v="26.58"/>
    <n v="24.75"/>
    <n v="589256.66"/>
    <n v="426378.094323"/>
    <n v="0"/>
    <n v="27.64"/>
    <n v="49"/>
    <n v="22"/>
    <n v="22"/>
    <n v="461"/>
    <n v="15.78"/>
    <n v="120000"/>
    <n v="211.11"/>
    <n v="2"/>
    <n v="22.75"/>
    <n v="2975"/>
    <n v="755000"/>
    <n v="755000"/>
    <n v="615212.47"/>
    <n v="463"/>
    <n v="396"/>
    <n v="463"/>
  </r>
  <r>
    <n v="17"/>
    <x v="8"/>
    <n v="1475"/>
    <s v="CARLOS"/>
    <x v="0"/>
    <x v="0"/>
    <n v="95000"/>
    <n v="52"/>
    <n v="52"/>
    <n v="55288.81"/>
    <n v="39675.071562999998"/>
    <n v="0"/>
    <n v="28.24"/>
    <n v="21.94"/>
    <n v="278601.65000000002"/>
    <n v="197998.658257"/>
    <n v="0"/>
    <n v="28.93"/>
    <n v="34"/>
    <n v="22"/>
    <n v="22"/>
    <n v="240"/>
    <n v="11.69"/>
    <n v="95000"/>
    <n v="0"/>
    <n v="0"/>
    <n v="23.78"/>
    <n v="2975"/>
    <n v="580000"/>
    <n v="580000"/>
    <n v="278601.65000000002"/>
    <n v="300"/>
    <n v="135"/>
    <n v="300"/>
  </r>
  <r>
    <n v="10"/>
    <x v="1"/>
    <n v="1486"/>
    <s v="DHIEGO"/>
    <x v="0"/>
    <x v="0"/>
    <n v="45000"/>
    <n v="35"/>
    <n v="35"/>
    <n v="30983.9"/>
    <n v="22133.738924000001"/>
    <n v="0"/>
    <n v="28.56"/>
    <n v="26.65"/>
    <n v="675229.49"/>
    <n v="507872.78409500001"/>
    <n v="0"/>
    <n v="24.79"/>
    <n v="24"/>
    <n v="22"/>
    <n v="22"/>
    <n v="144"/>
    <n v="7.51"/>
    <n v="45000"/>
    <n v="0"/>
    <n v="1"/>
    <n v="19.760000000000002"/>
    <n v="2975"/>
    <n v="678000"/>
    <n v="678000"/>
    <n v="478225.19"/>
    <n v="493"/>
    <n v="464"/>
    <n v="493"/>
  </r>
  <r>
    <n v="20"/>
    <x v="7"/>
    <n v="1493"/>
    <s v="FABIO"/>
    <x v="0"/>
    <x v="0"/>
    <n v="45000"/>
    <n v="40"/>
    <n v="40"/>
    <n v="11675.67"/>
    <n v="8937.8365140000005"/>
    <n v="0"/>
    <n v="23.45"/>
    <n v="31.15"/>
    <n v="357495.26"/>
    <n v="269497.492899"/>
    <n v="0"/>
    <n v="24.62"/>
    <n v="14"/>
    <n v="22"/>
    <n v="22"/>
    <n v="64"/>
    <n v="6.13"/>
    <n v="45000"/>
    <n v="699.2"/>
    <n v="0"/>
    <n v="32.26"/>
    <n v="2975"/>
    <n v="336000"/>
    <n v="336000"/>
    <n v="126500.95"/>
    <n v="285"/>
    <n v="122"/>
    <n v="285"/>
  </r>
  <r>
    <n v="17"/>
    <x v="8"/>
    <n v="1497"/>
    <s v="ACSA"/>
    <x v="0"/>
    <x v="0"/>
    <n v="85000"/>
    <n v="35"/>
    <n v="35"/>
    <n v="63933.599999999999"/>
    <n v="45703.496751999999"/>
    <n v="0"/>
    <n v="28.51"/>
    <n v="20.72"/>
    <n v="278601.65000000002"/>
    <n v="197998.658257"/>
    <n v="0"/>
    <n v="28.93"/>
    <n v="29"/>
    <n v="22"/>
    <n v="22"/>
    <n v="385"/>
    <n v="22.35"/>
    <n v="85000"/>
    <n v="0"/>
    <n v="0"/>
    <n v="23.78"/>
    <n v="2975"/>
    <n v="580000"/>
    <n v="580000"/>
    <n v="278601.65000000002"/>
    <n v="300"/>
    <n v="135"/>
    <n v="300"/>
  </r>
  <r>
    <n v="10"/>
    <x v="1"/>
    <n v="1500"/>
    <s v="DANIELE"/>
    <x v="0"/>
    <x v="0"/>
    <n v="84000"/>
    <n v="5"/>
    <n v="5"/>
    <n v="22482.5"/>
    <n v="16395.947326000001"/>
    <n v="0"/>
    <n v="27.07"/>
    <n v="42"/>
    <n v="675229.49"/>
    <n v="507872.78409500001"/>
    <n v="0"/>
    <n v="24.79"/>
    <n v="4"/>
    <n v="22"/>
    <n v="22"/>
    <n v="108"/>
    <n v="32.799999999999997"/>
    <n v="84000"/>
    <n v="0"/>
    <n v="0"/>
    <n v="19.760000000000002"/>
    <n v="2975"/>
    <n v="678000"/>
    <n v="678000"/>
    <n v="478225.19"/>
    <n v="493"/>
    <n v="464"/>
    <n v="493"/>
  </r>
  <r>
    <n v="2"/>
    <x v="0"/>
    <n v="1505"/>
    <s v="BRUNA"/>
    <x v="0"/>
    <x v="0"/>
    <n v="80000"/>
    <n v="50"/>
    <n v="50"/>
    <n v="90756.63"/>
    <n v="67556.276435000007"/>
    <n v="0"/>
    <n v="25.56"/>
    <n v="19.75"/>
    <n v="985449.1"/>
    <n v="729210.20780199999"/>
    <n v="0"/>
    <n v="26"/>
    <n v="50"/>
    <n v="22"/>
    <n v="22"/>
    <n v="558"/>
    <n v="19.13"/>
    <n v="80000"/>
    <n v="0"/>
    <n v="1"/>
    <n v="20.39"/>
    <n v="2975"/>
    <n v="1336000"/>
    <n v="1336000"/>
    <n v="1067042.8500000001"/>
    <n v="862"/>
    <n v="676"/>
    <n v="862"/>
  </r>
  <r>
    <n v="6"/>
    <x v="3"/>
    <n v="1512"/>
    <s v="JAIME"/>
    <x v="0"/>
    <x v="0"/>
    <n v="69000"/>
    <n v="69"/>
    <n v="69"/>
    <n v="58376.42"/>
    <n v="44716.215284999998"/>
    <n v="0"/>
    <n v="23.4"/>
    <n v="15.25"/>
    <n v="595843.36"/>
    <n v="450944.50232500001"/>
    <n v="0"/>
    <n v="24.32"/>
    <n v="62"/>
    <n v="22"/>
    <n v="22"/>
    <n v="398"/>
    <n v="10.56"/>
    <n v="69000"/>
    <n v="0"/>
    <n v="0"/>
    <n v="19.489999999999998"/>
    <n v="2975"/>
    <n v="1051000"/>
    <n v="1051000"/>
    <n v="798720.49"/>
    <n v="908"/>
    <n v="697"/>
    <n v="908"/>
  </r>
  <r>
    <n v="4"/>
    <x v="2"/>
    <n v="1522"/>
    <s v="MARCIA"/>
    <x v="0"/>
    <x v="0"/>
    <n v="70000"/>
    <n v="1"/>
    <n v="1"/>
    <n v="33200.400000000001"/>
    <n v="23625.969660999999"/>
    <n v="0"/>
    <n v="28.84"/>
    <n v="28"/>
    <n v="589256.66"/>
    <n v="426378.094323"/>
    <n v="0"/>
    <n v="27.64"/>
    <n v="1"/>
    <n v="22"/>
    <n v="22"/>
    <n v="87"/>
    <n v="21.75"/>
    <n v="70000"/>
    <n v="0"/>
    <n v="0"/>
    <n v="22.75"/>
    <n v="2975"/>
    <n v="755000"/>
    <n v="755000"/>
    <n v="615212.47"/>
    <n v="463"/>
    <n v="396"/>
    <n v="463"/>
  </r>
  <r>
    <n v="2"/>
    <x v="0"/>
    <n v="1524"/>
    <s v="ANDREZA"/>
    <x v="0"/>
    <x v="0"/>
    <n v="90000"/>
    <n v="62"/>
    <n v="62"/>
    <n v="64484.06"/>
    <n v="48313.813245999998"/>
    <n v="0"/>
    <n v="25.08"/>
    <n v="18.920000000000002"/>
    <n v="985449.1"/>
    <n v="729210.20780199999"/>
    <n v="0"/>
    <n v="26"/>
    <n v="62"/>
    <n v="22"/>
    <n v="22"/>
    <n v="480"/>
    <n v="15.41"/>
    <n v="90000"/>
    <n v="383"/>
    <n v="0"/>
    <n v="20.39"/>
    <n v="2975"/>
    <n v="1336000"/>
    <n v="1336000"/>
    <n v="1067042.8500000001"/>
    <n v="862"/>
    <n v="676"/>
    <n v="862"/>
  </r>
  <r>
    <n v="26"/>
    <x v="4"/>
    <n v="1527"/>
    <s v="JOSE"/>
    <x v="0"/>
    <x v="0"/>
    <n v="46000"/>
    <n v="40"/>
    <n v="40"/>
    <n v="48385"/>
    <n v="36441.181754999998"/>
    <n v="0"/>
    <n v="24.68"/>
    <n v="24.28"/>
    <n v="538753.56999999995"/>
    <n v="415241.03464700002"/>
    <n v="0"/>
    <n v="22.93"/>
    <n v="42"/>
    <n v="22"/>
    <n v="22"/>
    <n v="288"/>
    <n v="7.54"/>
    <n v="46000"/>
    <n v="1432.76"/>
    <n v="1"/>
    <n v="23.52"/>
    <n v="2975"/>
    <n v="878000"/>
    <n v="878000"/>
    <n v="606537.78"/>
    <n v="651"/>
    <n v="568"/>
    <n v="651"/>
  </r>
  <r>
    <n v="26"/>
    <x v="4"/>
    <n v="1535"/>
    <s v="ALAN"/>
    <x v="0"/>
    <x v="0"/>
    <n v="46000"/>
    <n v="40"/>
    <n v="40"/>
    <n v="14331.59"/>
    <n v="10922.249996"/>
    <n v="0"/>
    <n v="23.79"/>
    <n v="18.97"/>
    <n v="538753.56999999995"/>
    <n v="415241.03464700002"/>
    <n v="0"/>
    <n v="22.93"/>
    <n v="30"/>
    <n v="22"/>
    <n v="22"/>
    <n v="125"/>
    <n v="5.24"/>
    <n v="46000"/>
    <n v="382.16"/>
    <n v="1"/>
    <n v="23.52"/>
    <n v="2975"/>
    <n v="878000"/>
    <n v="878000"/>
    <n v="606537.78"/>
    <n v="651"/>
    <n v="568"/>
    <n v="651"/>
  </r>
  <r>
    <n v="20"/>
    <x v="7"/>
    <n v="1537"/>
    <s v="JOSE"/>
    <x v="0"/>
    <x v="0"/>
    <n v="46000"/>
    <n v="40"/>
    <n v="40"/>
    <n v="32979.08"/>
    <n v="24979.941756"/>
    <n v="0"/>
    <n v="24.26"/>
    <n v="26.36"/>
    <n v="357495.26"/>
    <n v="269497.492899"/>
    <n v="0"/>
    <n v="24.62"/>
    <n v="40"/>
    <n v="22"/>
    <n v="22"/>
    <n v="358"/>
    <n v="9.36"/>
    <n v="46000"/>
    <n v="2093.33"/>
    <n v="0"/>
    <n v="32.26"/>
    <n v="2975"/>
    <n v="336000"/>
    <n v="336000"/>
    <n v="126500.95"/>
    <n v="285"/>
    <n v="122"/>
    <n v="285"/>
  </r>
  <r>
    <n v="17"/>
    <x v="8"/>
    <n v="1549"/>
    <s v="RAIMUNDO"/>
    <x v="0"/>
    <x v="0"/>
    <n v="0"/>
    <n v="0"/>
    <n v="0"/>
    <n v="3103.56"/>
    <n v="1934.557515"/>
    <n v="0"/>
    <n v="37.67"/>
    <n v="21"/>
    <n v="278601.65000000002"/>
    <n v="197998.658257"/>
    <n v="0"/>
    <n v="28.93"/>
    <n v="2"/>
    <n v="22"/>
    <n v="22"/>
    <n v="32"/>
    <n v="16.5"/>
    <n v="0"/>
    <n v="0"/>
    <n v="0"/>
    <n v="23.78"/>
    <n v="2975"/>
    <n v="580000"/>
    <n v="580000"/>
    <n v="278601.65000000002"/>
    <n v="300"/>
    <n v="135"/>
    <n v="300"/>
  </r>
  <r>
    <n v="2"/>
    <x v="0"/>
    <n v="1553"/>
    <s v="JORGE"/>
    <x v="0"/>
    <x v="0"/>
    <n v="46000"/>
    <n v="40"/>
    <n v="40"/>
    <n v="43249.19"/>
    <n v="31317.086769000001"/>
    <n v="0"/>
    <n v="27.59"/>
    <n v="41.78"/>
    <n v="985449.1"/>
    <n v="729210.20780199999"/>
    <n v="0"/>
    <n v="26"/>
    <n v="28"/>
    <n v="22"/>
    <n v="22"/>
    <n v="205"/>
    <n v="7.95"/>
    <n v="46000"/>
    <n v="2276.3200000000002"/>
    <n v="0"/>
    <n v="20.39"/>
    <n v="2975"/>
    <n v="1336000"/>
    <n v="1336000"/>
    <n v="1067042.8500000001"/>
    <n v="862"/>
    <n v="676"/>
    <n v="862"/>
  </r>
  <r>
    <n v="20"/>
    <x v="7"/>
    <n v="1556"/>
    <s v="MADSON"/>
    <x v="0"/>
    <x v="0"/>
    <n v="45000"/>
    <n v="40"/>
    <n v="40"/>
    <n v="16427.02"/>
    <n v="12410.288299"/>
    <n v="0"/>
    <n v="24.45"/>
    <n v="42.82"/>
    <n v="357495.26"/>
    <n v="269497.492899"/>
    <n v="0"/>
    <n v="24.62"/>
    <n v="9"/>
    <n v="22"/>
    <n v="22"/>
    <n v="91"/>
    <n v="11.22"/>
    <n v="45000"/>
    <n v="0"/>
    <n v="0"/>
    <n v="32.26"/>
    <n v="2975"/>
    <n v="336000"/>
    <n v="336000"/>
    <n v="126500.95"/>
    <n v="285"/>
    <n v="122"/>
    <n v="285"/>
  </r>
  <r>
    <n v="4"/>
    <x v="2"/>
    <n v="1557"/>
    <s v="ALEXSANDRA"/>
    <x v="0"/>
    <x v="0"/>
    <n v="115000"/>
    <n v="78"/>
    <n v="78"/>
    <n v="107569.41"/>
    <n v="76781.789946000004"/>
    <n v="0"/>
    <n v="28.62"/>
    <n v="22.24"/>
    <n v="589256.66"/>
    <n v="426378.094323"/>
    <n v="0"/>
    <n v="27.64"/>
    <n v="81"/>
    <n v="22"/>
    <n v="22"/>
    <n v="508"/>
    <n v="15.97"/>
    <n v="115000"/>
    <n v="0"/>
    <n v="0"/>
    <n v="22.75"/>
    <n v="2975"/>
    <n v="755000"/>
    <n v="755000"/>
    <n v="615212.47"/>
    <n v="463"/>
    <n v="396"/>
    <n v="463"/>
  </r>
  <r>
    <n v="4"/>
    <x v="2"/>
    <n v="1558"/>
    <s v="JEFFERSON"/>
    <x v="0"/>
    <x v="0"/>
    <n v="80000"/>
    <n v="60"/>
    <n v="60"/>
    <n v="66598.8"/>
    <n v="48182.432215000001"/>
    <n v="0"/>
    <n v="27.65"/>
    <n v="20.54"/>
    <n v="589256.66"/>
    <n v="426378.094323"/>
    <n v="0"/>
    <n v="27.64"/>
    <n v="60"/>
    <n v="22"/>
    <n v="22"/>
    <n v="324"/>
    <n v="14.35"/>
    <n v="80000"/>
    <n v="0"/>
    <n v="2"/>
    <n v="22.75"/>
    <n v="2975"/>
    <n v="755000"/>
    <n v="755000"/>
    <n v="615212.47"/>
    <n v="463"/>
    <n v="396"/>
    <n v="463"/>
  </r>
  <r>
    <n v="4"/>
    <x v="2"/>
    <n v="1559"/>
    <s v="LUAN"/>
    <x v="0"/>
    <x v="0"/>
    <n v="60000"/>
    <n v="40"/>
    <n v="40"/>
    <n v="55910.41"/>
    <n v="41250.319229000001"/>
    <n v="0"/>
    <n v="26.22"/>
    <n v="18.86"/>
    <n v="589256.66"/>
    <n v="426378.094323"/>
    <n v="0"/>
    <n v="27.64"/>
    <n v="43"/>
    <n v="22"/>
    <n v="22"/>
    <n v="537"/>
    <n v="16.2"/>
    <n v="60000"/>
    <n v="0"/>
    <n v="0"/>
    <n v="22.75"/>
    <n v="2975"/>
    <n v="755000"/>
    <n v="755000"/>
    <n v="615212.47"/>
    <n v="463"/>
    <n v="396"/>
    <n v="463"/>
  </r>
  <r>
    <n v="2"/>
    <x v="0"/>
    <n v="1561"/>
    <s v="NAZARENO"/>
    <x v="0"/>
    <x v="0"/>
    <n v="90000"/>
    <n v="72"/>
    <n v="72"/>
    <n v="38344.559999999998"/>
    <n v="28516.229918000001"/>
    <n v="0"/>
    <n v="25.63"/>
    <n v="17.39"/>
    <n v="985449.1"/>
    <n v="729210.20780199999"/>
    <n v="0"/>
    <n v="26"/>
    <n v="30"/>
    <n v="22"/>
    <n v="22"/>
    <n v="412"/>
    <n v="11.63"/>
    <n v="90000"/>
    <n v="7165.42"/>
    <n v="0"/>
    <n v="20.39"/>
    <n v="2975"/>
    <n v="1336000"/>
    <n v="1336000"/>
    <n v="1067042.8500000001"/>
    <n v="862"/>
    <n v="676"/>
    <n v="862"/>
  </r>
  <r>
    <n v="5"/>
    <x v="5"/>
    <n v="1563"/>
    <s v="EVERTON"/>
    <x v="0"/>
    <x v="0"/>
    <n v="60000"/>
    <n v="70"/>
    <n v="70"/>
    <n v="946.45"/>
    <n v="694.44608600000004"/>
    <n v="0"/>
    <n v="26.63"/>
    <n v="11.31"/>
    <n v="283650.64"/>
    <n v="214409.30452199999"/>
    <n v="0"/>
    <n v="24.41"/>
    <n v="3"/>
    <n v="22"/>
    <n v="22"/>
    <n v="14"/>
    <n v="5"/>
    <n v="60000"/>
    <n v="772.45"/>
    <n v="0"/>
    <n v="24.18"/>
    <n v="2975"/>
    <n v="570000"/>
    <n v="570000"/>
    <n v="257322.78"/>
    <n v="340"/>
    <n v="127"/>
    <n v="340"/>
  </r>
  <r>
    <n v="12"/>
    <x v="6"/>
    <n v="1571"/>
    <s v="IZABELA"/>
    <x v="0"/>
    <x v="0"/>
    <n v="55000"/>
    <n v="60"/>
    <n v="60"/>
    <n v="10938.84"/>
    <n v="8476.7458380000007"/>
    <n v="0"/>
    <n v="22.51"/>
    <n v="17.02"/>
    <n v="230629.95"/>
    <n v="175794.35781799999"/>
    <n v="0"/>
    <n v="23.78"/>
    <n v="13"/>
    <n v="22"/>
    <n v="22"/>
    <n v="93"/>
    <n v="12.31"/>
    <n v="55000"/>
    <n v="240.5"/>
    <n v="0"/>
    <n v="28.96"/>
    <n v="2975"/>
    <n v="700000"/>
    <n v="700000"/>
    <n v="256957.81"/>
    <n v="785"/>
    <n v="326"/>
    <n v="785"/>
  </r>
  <r>
    <n v="10"/>
    <x v="1"/>
    <n v="1572"/>
    <s v="AMANDA"/>
    <x v="0"/>
    <x v="0"/>
    <n v="60000"/>
    <n v="65"/>
    <n v="65"/>
    <n v="45356.74"/>
    <n v="34251.121891000003"/>
    <n v="0"/>
    <n v="24.49"/>
    <n v="14.12"/>
    <n v="675229.49"/>
    <n v="507872.78409500001"/>
    <n v="0"/>
    <n v="24.79"/>
    <n v="65"/>
    <n v="22"/>
    <n v="22"/>
    <n v="346"/>
    <n v="11.82"/>
    <n v="60000"/>
    <n v="1248.32"/>
    <n v="0"/>
    <n v="19.760000000000002"/>
    <n v="2975"/>
    <n v="678000"/>
    <n v="678000"/>
    <n v="478225.19"/>
    <n v="493"/>
    <n v="464"/>
    <n v="493"/>
  </r>
  <r>
    <n v="20"/>
    <x v="7"/>
    <n v="1573"/>
    <s v="BRENO"/>
    <x v="0"/>
    <x v="0"/>
    <n v="45000"/>
    <n v="40"/>
    <n v="40"/>
    <n v="18879.11"/>
    <n v="13478.973811"/>
    <n v="0"/>
    <n v="28.6"/>
    <n v="38.06"/>
    <n v="357495.26"/>
    <n v="269497.492899"/>
    <n v="0"/>
    <n v="24.62"/>
    <n v="17"/>
    <n v="22"/>
    <n v="22"/>
    <n v="138"/>
    <n v="10.15"/>
    <n v="45000"/>
    <n v="608.74"/>
    <n v="0"/>
    <n v="32.26"/>
    <n v="2975"/>
    <n v="336000"/>
    <n v="336000"/>
    <n v="126500.95"/>
    <n v="285"/>
    <n v="122"/>
    <n v="285"/>
  </r>
  <r>
    <n v="14"/>
    <x v="9"/>
    <n v="1574"/>
    <s v="BRUNO"/>
    <x v="0"/>
    <x v="0"/>
    <n v="45000"/>
    <n v="40"/>
    <n v="40"/>
    <n v="32278.720000000001"/>
    <n v="23087.616156"/>
    <n v="0"/>
    <n v="28.47"/>
    <n v="41.31"/>
    <n v="104076.27"/>
    <n v="75025.615919999997"/>
    <n v="0"/>
    <n v="27.91"/>
    <n v="25"/>
    <n v="22"/>
    <n v="22"/>
    <n v="162"/>
    <n v="7.68"/>
    <n v="45000"/>
    <n v="0"/>
    <n v="0"/>
    <n v="37.590000000000003"/>
    <n v="2975"/>
    <n v="135000"/>
    <n v="135000"/>
    <n v="78120.460000000006"/>
    <n v="120"/>
    <n v="60"/>
    <n v="120"/>
  </r>
  <r>
    <n v="14"/>
    <x v="9"/>
    <n v="1576"/>
    <s v="HENNED"/>
    <x v="0"/>
    <x v="0"/>
    <n v="0"/>
    <n v="0"/>
    <n v="0"/>
    <n v="4281.92"/>
    <n v="3061.6661730000001"/>
    <n v="0"/>
    <n v="28.5"/>
    <n v="26.99"/>
    <n v="104076.27"/>
    <n v="75025.615919999997"/>
    <n v="0"/>
    <n v="27.91"/>
    <n v="6"/>
    <n v="22"/>
    <n v="22"/>
    <n v="33"/>
    <n v="5.5"/>
    <n v="0"/>
    <n v="0"/>
    <n v="0"/>
    <n v="37.590000000000003"/>
    <n v="2975"/>
    <n v="135000"/>
    <n v="135000"/>
    <n v="78120.460000000006"/>
    <n v="120"/>
    <n v="60"/>
    <n v="120"/>
  </r>
  <r>
    <n v="12"/>
    <x v="6"/>
    <n v="1577"/>
    <s v="RICARDO"/>
    <x v="0"/>
    <x v="0"/>
    <n v="51000"/>
    <n v="60"/>
    <n v="60"/>
    <n v="6567.47"/>
    <n v="5109.3465560000004"/>
    <n v="0"/>
    <n v="22.2"/>
    <n v="13.24"/>
    <n v="230629.95"/>
    <n v="175794.35781799999"/>
    <n v="0"/>
    <n v="23.78"/>
    <n v="17"/>
    <n v="22"/>
    <n v="22"/>
    <n v="85"/>
    <n v="5.95"/>
    <n v="51000"/>
    <n v="241.37"/>
    <n v="1"/>
    <n v="28.96"/>
    <n v="2975"/>
    <n v="700000"/>
    <n v="700000"/>
    <n v="256957.81"/>
    <n v="785"/>
    <n v="326"/>
    <n v="785"/>
  </r>
  <r>
    <n v="6"/>
    <x v="3"/>
    <n v="1578"/>
    <s v="EDVAN"/>
    <x v="0"/>
    <x v="0"/>
    <n v="0"/>
    <n v="0"/>
    <n v="0"/>
    <n v="25085.98"/>
    <n v="19104.141995000002"/>
    <n v="0"/>
    <n v="23.85"/>
    <n v="16.579999999999998"/>
    <n v="595843.36"/>
    <n v="450944.50232500001"/>
    <n v="0"/>
    <n v="24.32"/>
    <n v="26"/>
    <n v="22"/>
    <n v="22"/>
    <n v="271"/>
    <n v="13.03"/>
    <n v="0"/>
    <n v="1816.04"/>
    <n v="0"/>
    <n v="19.489999999999998"/>
    <n v="2975"/>
    <n v="1051000"/>
    <n v="1051000"/>
    <n v="798720.49"/>
    <n v="908"/>
    <n v="697"/>
    <n v="908"/>
  </r>
  <r>
    <n v="2"/>
    <x v="0"/>
    <n v="1580"/>
    <s v="BRENDA"/>
    <x v="0"/>
    <x v="0"/>
    <n v="65000"/>
    <n v="50"/>
    <n v="50"/>
    <n v="17207.009999999998"/>
    <n v="12545.033187000001"/>
    <n v="0"/>
    <n v="27.09"/>
    <n v="22.9"/>
    <n v="985449.1"/>
    <n v="729210.20780199999"/>
    <n v="0"/>
    <n v="26"/>
    <n v="15"/>
    <n v="22"/>
    <n v="22"/>
    <n v="160"/>
    <n v="11.35"/>
    <n v="65000"/>
    <n v="400.64"/>
    <n v="0"/>
    <n v="20.39"/>
    <n v="2975"/>
    <n v="1336000"/>
    <n v="1336000"/>
    <n v="1067042.8500000001"/>
    <n v="862"/>
    <n v="676"/>
    <n v="862"/>
  </r>
  <r>
    <n v="5"/>
    <x v="5"/>
    <n v="1581"/>
    <s v="EMILLE"/>
    <x v="0"/>
    <x v="0"/>
    <n v="60000"/>
    <n v="70"/>
    <n v="70"/>
    <n v="11949.27"/>
    <n v="9094.3331830000006"/>
    <n v="0"/>
    <n v="23.89"/>
    <n v="10.63"/>
    <n v="283650.64"/>
    <n v="214409.30452199999"/>
    <n v="0"/>
    <n v="24.41"/>
    <n v="23"/>
    <n v="22"/>
    <n v="22"/>
    <n v="181"/>
    <n v="13.6"/>
    <n v="60000"/>
    <n v="0"/>
    <n v="0"/>
    <n v="24.18"/>
    <n v="2975"/>
    <n v="570000"/>
    <n v="570000"/>
    <n v="257322.78"/>
    <n v="340"/>
    <n v="127"/>
    <n v="340"/>
  </r>
  <r>
    <n v="12"/>
    <x v="6"/>
    <n v="1582"/>
    <s v="KEYLLA"/>
    <x v="0"/>
    <x v="0"/>
    <n v="51000"/>
    <n v="60"/>
    <n v="60"/>
    <n v="36822.42"/>
    <n v="29391.587278999999"/>
    <n v="0"/>
    <n v="20.18"/>
    <n v="20.190000000000001"/>
    <n v="230629.95"/>
    <n v="175794.35781799999"/>
    <n v="0"/>
    <n v="23.78"/>
    <n v="33"/>
    <n v="22"/>
    <n v="22"/>
    <n v="139"/>
    <n v="7.18"/>
    <n v="51000"/>
    <n v="440.77"/>
    <n v="2"/>
    <n v="28.96"/>
    <n v="2975"/>
    <n v="700000"/>
    <n v="700000"/>
    <n v="256957.81"/>
    <n v="785"/>
    <n v="326"/>
    <n v="785"/>
  </r>
  <r>
    <n v="4"/>
    <x v="2"/>
    <n v="1583"/>
    <s v="RAUL"/>
    <x v="0"/>
    <x v="0"/>
    <n v="45000"/>
    <n v="40"/>
    <n v="40"/>
    <n v="25955.81"/>
    <n v="18695.625574999998"/>
    <n v="0"/>
    <n v="27.97"/>
    <n v="33.42"/>
    <n v="589256.66"/>
    <n v="426378.094323"/>
    <n v="0"/>
    <n v="27.64"/>
    <n v="30"/>
    <n v="22"/>
    <n v="22"/>
    <n v="145"/>
    <n v="6"/>
    <n v="45000"/>
    <n v="274.19"/>
    <n v="3"/>
    <n v="22.75"/>
    <n v="2975"/>
    <n v="755000"/>
    <n v="755000"/>
    <n v="615212.47"/>
    <n v="463"/>
    <n v="396"/>
    <n v="463"/>
  </r>
  <r>
    <n v="12"/>
    <x v="6"/>
    <n v="1584"/>
    <s v="BIANCA"/>
    <x v="0"/>
    <x v="0"/>
    <n v="40000"/>
    <n v="45"/>
    <n v="45"/>
    <n v="7209.61"/>
    <n v="5573.1087600000001"/>
    <n v="0"/>
    <n v="22.7"/>
    <n v="15.56"/>
    <n v="230629.95"/>
    <n v="175794.35781799999"/>
    <n v="0"/>
    <n v="23.78"/>
    <n v="11"/>
    <n v="22"/>
    <n v="22"/>
    <n v="75"/>
    <n v="12.18"/>
    <n v="40000"/>
    <n v="0"/>
    <n v="0"/>
    <n v="28.96"/>
    <n v="2975"/>
    <n v="700000"/>
    <n v="700000"/>
    <n v="256957.81"/>
    <n v="785"/>
    <n v="326"/>
    <n v="785"/>
  </r>
  <r>
    <n v="6"/>
    <x v="3"/>
    <n v="1585"/>
    <s v="FABIO"/>
    <x v="0"/>
    <x v="0"/>
    <n v="35000"/>
    <n v="35"/>
    <n v="35"/>
    <n v="24151.55"/>
    <n v="17743.067928"/>
    <n v="0"/>
    <n v="26.53"/>
    <n v="19.489999999999998"/>
    <n v="595843.36"/>
    <n v="450944.50232500001"/>
    <n v="0"/>
    <n v="24.32"/>
    <n v="35"/>
    <n v="22"/>
    <n v="22"/>
    <n v="256"/>
    <n v="11.69"/>
    <n v="35000"/>
    <n v="31.41"/>
    <n v="0"/>
    <n v="19.489999999999998"/>
    <n v="2975"/>
    <n v="1051000"/>
    <n v="1051000"/>
    <n v="798720.49"/>
    <n v="908"/>
    <n v="697"/>
    <n v="908"/>
  </r>
  <r>
    <n v="12"/>
    <x v="6"/>
    <n v="1586"/>
    <s v="JORGE"/>
    <x v="0"/>
    <x v="0"/>
    <n v="51000"/>
    <n v="60"/>
    <n v="60"/>
    <n v="21986.76"/>
    <n v="16951.607798000001"/>
    <n v="0"/>
    <n v="22.9"/>
    <n v="11.45"/>
    <n v="230629.95"/>
    <n v="175794.35781799999"/>
    <n v="0"/>
    <n v="23.78"/>
    <n v="36"/>
    <n v="22"/>
    <n v="22"/>
    <n v="147"/>
    <n v="5.96"/>
    <n v="51000"/>
    <n v="1323.14"/>
    <n v="0"/>
    <n v="28.96"/>
    <n v="2975"/>
    <n v="700000"/>
    <n v="700000"/>
    <n v="256957.81"/>
    <n v="785"/>
    <n v="326"/>
    <n v="785"/>
  </r>
  <r>
    <n v="6"/>
    <x v="3"/>
    <n v="1587"/>
    <s v="KELLY"/>
    <x v="0"/>
    <x v="0"/>
    <n v="40000"/>
    <n v="40"/>
    <n v="40"/>
    <n v="18316.09"/>
    <n v="13711.880534"/>
    <n v="0"/>
    <n v="25.14"/>
    <n v="21.11"/>
    <n v="595843.36"/>
    <n v="450944.50232500001"/>
    <n v="0"/>
    <n v="24.32"/>
    <n v="39"/>
    <n v="22"/>
    <n v="22"/>
    <n v="156"/>
    <n v="8.4499999999999993"/>
    <n v="40000"/>
    <n v="0"/>
    <n v="0"/>
    <n v="19.489999999999998"/>
    <n v="2975"/>
    <n v="1051000"/>
    <n v="1051000"/>
    <n v="798720.49"/>
    <n v="908"/>
    <n v="697"/>
    <n v="908"/>
  </r>
  <r>
    <n v="14"/>
    <x v="9"/>
    <n v="1588"/>
    <s v="MARCOS"/>
    <x v="0"/>
    <x v="0"/>
    <n v="45000"/>
    <n v="40"/>
    <n v="40"/>
    <n v="26943.41"/>
    <n v="19353.602043999999"/>
    <n v="0"/>
    <n v="28.17"/>
    <n v="42.17"/>
    <n v="104076.27"/>
    <n v="75025.615919999997"/>
    <n v="0"/>
    <n v="27.91"/>
    <n v="21"/>
    <n v="22"/>
    <n v="22"/>
    <n v="160"/>
    <n v="10.19"/>
    <n v="45000"/>
    <n v="0"/>
    <n v="0"/>
    <n v="37.590000000000003"/>
    <n v="2975"/>
    <n v="135000"/>
    <n v="135000"/>
    <n v="78120.460000000006"/>
    <n v="120"/>
    <n v="60"/>
    <n v="120"/>
  </r>
  <r>
    <n v="10"/>
    <x v="1"/>
    <n v="1589"/>
    <s v="VITOR"/>
    <x v="0"/>
    <x v="0"/>
    <n v="45000"/>
    <n v="40"/>
    <n v="40"/>
    <n v="18576.61"/>
    <n v="14046.946531"/>
    <n v="0"/>
    <n v="24.38"/>
    <n v="37.97"/>
    <n v="675229.49"/>
    <n v="507872.78409500001"/>
    <n v="0"/>
    <n v="24.79"/>
    <n v="20"/>
    <n v="22"/>
    <n v="22"/>
    <n v="129"/>
    <n v="6.42"/>
    <n v="45000"/>
    <n v="259.67"/>
    <n v="1"/>
    <n v="19.760000000000002"/>
    <n v="2975"/>
    <n v="678000"/>
    <n v="678000"/>
    <n v="478225.19"/>
    <n v="493"/>
    <n v="464"/>
    <n v="493"/>
  </r>
  <r>
    <n v="20"/>
    <x v="7"/>
    <n v="1590"/>
    <s v="CARLOS"/>
    <x v="0"/>
    <x v="0"/>
    <n v="25000"/>
    <n v="25"/>
    <n v="25"/>
    <n v="5010.42"/>
    <n v="3640.5680080000002"/>
    <n v="0"/>
    <n v="27.34"/>
    <n v="40.869999999999997"/>
    <n v="357495.26"/>
    <n v="269497.492899"/>
    <n v="0"/>
    <n v="24.62"/>
    <n v="5"/>
    <n v="22"/>
    <n v="22"/>
    <n v="26"/>
    <n v="4.33"/>
    <n v="25000"/>
    <n v="0"/>
    <n v="0"/>
    <n v="32.26"/>
    <n v="2975"/>
    <n v="336000"/>
    <n v="336000"/>
    <n v="126500.95"/>
    <n v="285"/>
    <n v="122"/>
    <n v="285"/>
  </r>
  <r>
    <n v="10"/>
    <x v="1"/>
    <n v="1591"/>
    <s v="ELRIK"/>
    <x v="0"/>
    <x v="0"/>
    <n v="25000"/>
    <n v="25"/>
    <n v="25"/>
    <n v="11204.41"/>
    <n v="8393.8604680000008"/>
    <n v="0"/>
    <n v="25.08"/>
    <n v="17.7"/>
    <n v="675229.49"/>
    <n v="507872.78409500001"/>
    <n v="0"/>
    <n v="24.79"/>
    <n v="16"/>
    <n v="22"/>
    <n v="22"/>
    <n v="113"/>
    <n v="12.25"/>
    <n v="25000"/>
    <n v="0"/>
    <n v="0"/>
    <n v="19.760000000000002"/>
    <n v="2975"/>
    <n v="678000"/>
    <n v="678000"/>
    <n v="478225.19"/>
    <n v="493"/>
    <n v="464"/>
    <n v="493"/>
  </r>
  <r>
    <n v="14"/>
    <x v="9"/>
    <n v="1592"/>
    <s v="CLEYSON"/>
    <x v="0"/>
    <x v="0"/>
    <n v="25000"/>
    <n v="25"/>
    <n v="25"/>
    <n v="13112.13"/>
    <n v="9245.2264890000006"/>
    <n v="0"/>
    <n v="29.49"/>
    <n v="32.549999999999997"/>
    <n v="104076.27"/>
    <n v="75025.615919999997"/>
    <n v="0"/>
    <n v="27.91"/>
    <n v="7"/>
    <n v="22"/>
    <n v="22"/>
    <n v="70"/>
    <n v="8.6999999999999993"/>
    <n v="25000"/>
    <n v="0"/>
    <n v="0"/>
    <n v="37.590000000000003"/>
    <n v="2975"/>
    <n v="135000"/>
    <n v="135000"/>
    <n v="78120.460000000006"/>
    <n v="120"/>
    <n v="60"/>
    <n v="120"/>
  </r>
  <r>
    <n v="12"/>
    <x v="6"/>
    <n v="1594"/>
    <s v="EDILENE"/>
    <x v="0"/>
    <x v="0"/>
    <n v="50000"/>
    <n v="60"/>
    <n v="60"/>
    <n v="0"/>
    <n v="0"/>
    <n v="0"/>
    <n v="0"/>
    <n v="0"/>
    <n v="230629.95"/>
    <n v="175794.35781799999"/>
    <n v="0"/>
    <n v="23.78"/>
    <n v="0"/>
    <n v="22"/>
    <n v="22"/>
    <n v="0"/>
    <n v="0"/>
    <n v="50000"/>
    <n v="0"/>
    <n v="0"/>
    <n v="28.96"/>
    <n v="2975"/>
    <n v="700000"/>
    <n v="700000"/>
    <n v="256957.81"/>
    <n v="785"/>
    <n v="326"/>
    <n v="785"/>
  </r>
  <r>
    <n v="12"/>
    <x v="6"/>
    <n v="1595"/>
    <s v="JOSIVALBER"/>
    <x v="0"/>
    <x v="0"/>
    <n v="50000"/>
    <n v="60"/>
    <n v="60"/>
    <n v="0"/>
    <n v="0"/>
    <n v="0"/>
    <n v="0"/>
    <n v="0"/>
    <n v="230629.95"/>
    <n v="175794.35781799999"/>
    <n v="0"/>
    <n v="23.78"/>
    <n v="0"/>
    <n v="22"/>
    <n v="22"/>
    <n v="0"/>
    <n v="0"/>
    <n v="50000"/>
    <n v="0"/>
    <n v="0"/>
    <n v="28.96"/>
    <n v="2975"/>
    <n v="700000"/>
    <n v="700000"/>
    <n v="256957.81"/>
    <n v="785"/>
    <n v="326"/>
    <n v="785"/>
  </r>
  <r>
    <n v="2"/>
    <x v="0"/>
    <n v="28"/>
    <s v="RAIMUNDO"/>
    <x v="1"/>
    <x v="0"/>
    <n v="45000"/>
    <n v="30"/>
    <n v="30"/>
    <n v="0"/>
    <n v="1876.2642000000001"/>
    <n v="0"/>
    <n v="0"/>
    <n v="1"/>
    <n v="908207.64"/>
    <n v="677234.64758200001"/>
    <n v="0"/>
    <n v="25.43"/>
    <n v="0"/>
    <n v="19"/>
    <n v="19"/>
    <n v="39"/>
    <n v="1.52"/>
    <n v="45000"/>
    <n v="0"/>
    <n v="0"/>
    <n v="21.72"/>
    <n v="2782"/>
    <n v="1331000"/>
    <n v="1331000"/>
    <n v="1018464.25"/>
    <n v="845"/>
    <n v="634"/>
    <n v="845"/>
  </r>
  <r>
    <n v="10"/>
    <x v="1"/>
    <n v="314"/>
    <s v="JOSE"/>
    <x v="1"/>
    <x v="0"/>
    <n v="100000"/>
    <n v="65"/>
    <n v="65"/>
    <n v="58562.2"/>
    <n v="43821.653143000003"/>
    <n v="0"/>
    <n v="25.17"/>
    <n v="21.91"/>
    <n v="612464.30000000005"/>
    <n v="455858.53905299999"/>
    <n v="0"/>
    <n v="25.57"/>
    <n v="69"/>
    <n v="19"/>
    <n v="19"/>
    <n v="301"/>
    <n v="8.14"/>
    <n v="100000"/>
    <n v="646.75"/>
    <n v="0"/>
    <n v="21.15"/>
    <n v="2782"/>
    <n v="720000"/>
    <n v="720000"/>
    <n v="415422.74"/>
    <n v="525"/>
    <n v="429"/>
    <n v="525"/>
  </r>
  <r>
    <n v="4"/>
    <x v="2"/>
    <n v="374"/>
    <s v="EDVALDO"/>
    <x v="1"/>
    <x v="0"/>
    <n v="0"/>
    <n v="0"/>
    <n v="0"/>
    <n v="0"/>
    <n v="606.49181199999998"/>
    <n v="0"/>
    <n v="0"/>
    <n v="1"/>
    <n v="513639.38"/>
    <n v="369001.02627799998"/>
    <n v="0"/>
    <n v="28.16"/>
    <n v="0"/>
    <n v="19"/>
    <n v="19"/>
    <n v="10"/>
    <n v="1.0900000000000001"/>
    <n v="0"/>
    <n v="0"/>
    <n v="2"/>
    <n v="23.12"/>
    <n v="2782"/>
    <n v="760000"/>
    <n v="760000"/>
    <n v="534115.29"/>
    <n v="483"/>
    <n v="353"/>
    <n v="483"/>
  </r>
  <r>
    <n v="2"/>
    <x v="0"/>
    <n v="423"/>
    <s v="LENIVAL"/>
    <x v="1"/>
    <x v="0"/>
    <n v="115000"/>
    <n v="70"/>
    <n v="70"/>
    <n v="120237.66"/>
    <n v="88309.653369000007"/>
    <n v="0"/>
    <n v="26.55"/>
    <n v="18.79"/>
    <n v="908207.64"/>
    <n v="677234.64758200001"/>
    <n v="0"/>
    <n v="25.43"/>
    <n v="76"/>
    <n v="19"/>
    <n v="19"/>
    <n v="437"/>
    <n v="12.06"/>
    <n v="115000"/>
    <n v="4425.38"/>
    <n v="2"/>
    <n v="21.72"/>
    <n v="2782"/>
    <n v="1331000"/>
    <n v="1331000"/>
    <n v="1018464.25"/>
    <n v="845"/>
    <n v="634"/>
    <n v="845"/>
  </r>
  <r>
    <n v="6"/>
    <x v="3"/>
    <n v="465"/>
    <s v="FELIPE"/>
    <x v="1"/>
    <x v="0"/>
    <n v="90000"/>
    <n v="82"/>
    <n v="82"/>
    <n v="52903.28"/>
    <n v="40062.137103000001"/>
    <n v="0"/>
    <n v="24.27"/>
    <n v="18.690000000000001"/>
    <n v="353500.19"/>
    <n v="263150.449012"/>
    <n v="0"/>
    <n v="25.56"/>
    <n v="59"/>
    <n v="19"/>
    <n v="19"/>
    <n v="220"/>
    <n v="7.1"/>
    <n v="90000"/>
    <n v="920.18"/>
    <n v="2"/>
    <n v="18.46"/>
    <n v="2782"/>
    <n v="1054000"/>
    <n v="1054000"/>
    <n v="562468.07999999996"/>
    <n v="923"/>
    <n v="588"/>
    <n v="923"/>
  </r>
  <r>
    <n v="6"/>
    <x v="3"/>
    <n v="481"/>
    <s v="LUIZ"/>
    <x v="1"/>
    <x v="0"/>
    <n v="46000"/>
    <n v="40"/>
    <n v="40"/>
    <n v="55839.28"/>
    <n v="42262.711573"/>
    <n v="0"/>
    <n v="24.31"/>
    <n v="31.1"/>
    <n v="353500.19"/>
    <n v="263150.449012"/>
    <n v="0"/>
    <n v="25.56"/>
    <n v="42"/>
    <n v="19"/>
    <n v="19"/>
    <n v="234"/>
    <n v="7.27"/>
    <n v="46000"/>
    <n v="888.15"/>
    <n v="0"/>
    <n v="18.46"/>
    <n v="2782"/>
    <n v="1054000"/>
    <n v="1054000"/>
    <n v="562468.07999999996"/>
    <n v="923"/>
    <n v="588"/>
    <n v="923"/>
  </r>
  <r>
    <n v="2"/>
    <x v="0"/>
    <n v="520"/>
    <s v="AILTON"/>
    <x v="1"/>
    <x v="0"/>
    <n v="115000"/>
    <n v="69"/>
    <n v="69"/>
    <n v="64921.31"/>
    <n v="46474.277377999999"/>
    <n v="0"/>
    <n v="28.41"/>
    <n v="26.9"/>
    <n v="908207.64"/>
    <n v="677234.64758200001"/>
    <n v="0"/>
    <n v="25.43"/>
    <n v="35"/>
    <n v="19"/>
    <n v="19"/>
    <n v="312"/>
    <n v="16.559999999999999"/>
    <n v="115000"/>
    <n v="181.14"/>
    <n v="0"/>
    <n v="21.72"/>
    <n v="2782"/>
    <n v="1331000"/>
    <n v="1331000"/>
    <n v="1018464.25"/>
    <n v="845"/>
    <n v="634"/>
    <n v="845"/>
  </r>
  <r>
    <n v="2"/>
    <x v="0"/>
    <n v="577"/>
    <s v="NELITON"/>
    <x v="1"/>
    <x v="0"/>
    <n v="105000"/>
    <n v="15"/>
    <n v="15"/>
    <n v="105327.93"/>
    <n v="84850.921268000006"/>
    <n v="0"/>
    <n v="19.440000000000001"/>
    <n v="20.39"/>
    <n v="908207.64"/>
    <n v="677234.64758200001"/>
    <n v="0"/>
    <n v="25.43"/>
    <n v="15"/>
    <n v="19"/>
    <n v="19"/>
    <n v="150"/>
    <n v="6.44"/>
    <n v="105000"/>
    <n v="150"/>
    <n v="0"/>
    <n v="21.72"/>
    <n v="2782"/>
    <n v="1331000"/>
    <n v="1331000"/>
    <n v="1018464.25"/>
    <n v="845"/>
    <n v="634"/>
    <n v="845"/>
  </r>
  <r>
    <n v="6"/>
    <x v="3"/>
    <n v="644"/>
    <s v="LUCIANO"/>
    <x v="1"/>
    <x v="0"/>
    <n v="0"/>
    <n v="0"/>
    <n v="0"/>
    <n v="0"/>
    <n v="1671.2853709999999"/>
    <n v="0"/>
    <n v="0"/>
    <n v="1"/>
    <n v="353500.19"/>
    <n v="263150.449012"/>
    <n v="0"/>
    <n v="25.56"/>
    <n v="0"/>
    <n v="19"/>
    <n v="19"/>
    <n v="15"/>
    <n v="1.4"/>
    <n v="0"/>
    <n v="84.15"/>
    <n v="0"/>
    <n v="18.46"/>
    <n v="2782"/>
    <n v="1054000"/>
    <n v="1054000"/>
    <n v="562468.07999999996"/>
    <n v="923"/>
    <n v="588"/>
    <n v="923"/>
  </r>
  <r>
    <n v="26"/>
    <x v="4"/>
    <n v="661"/>
    <s v="LUCIO"/>
    <x v="1"/>
    <x v="0"/>
    <n v="115000"/>
    <n v="88"/>
    <n v="88"/>
    <n v="76790.070000000007"/>
    <n v="58236.067206"/>
    <n v="0"/>
    <n v="24.16"/>
    <n v="24.38"/>
    <n v="511611.31"/>
    <n v="387941.85510500002"/>
    <n v="0"/>
    <n v="24.17"/>
    <n v="49"/>
    <n v="19"/>
    <n v="19"/>
    <n v="221"/>
    <n v="8.09"/>
    <n v="115000"/>
    <n v="340.06"/>
    <n v="0"/>
    <n v="24.8"/>
    <n v="2782"/>
    <n v="838000"/>
    <n v="838000"/>
    <n v="583373.18000000005"/>
    <n v="621"/>
    <n v="453"/>
    <n v="621"/>
  </r>
  <r>
    <n v="2"/>
    <x v="0"/>
    <n v="690"/>
    <s v="MARCIO"/>
    <x v="1"/>
    <x v="0"/>
    <n v="110000"/>
    <n v="90"/>
    <n v="90"/>
    <n v="91554.45"/>
    <n v="68611.245733000003"/>
    <n v="0"/>
    <n v="25.06"/>
    <n v="17.78"/>
    <n v="908207.64"/>
    <n v="677234.64758200001"/>
    <n v="0"/>
    <n v="25.43"/>
    <n v="82"/>
    <n v="19"/>
    <n v="19"/>
    <n v="472"/>
    <n v="11.71"/>
    <n v="110000"/>
    <n v="2142.5500000000002"/>
    <n v="2"/>
    <n v="21.72"/>
    <n v="2782"/>
    <n v="1331000"/>
    <n v="1331000"/>
    <n v="1018464.25"/>
    <n v="845"/>
    <n v="634"/>
    <n v="845"/>
  </r>
  <r>
    <n v="26"/>
    <x v="4"/>
    <n v="705"/>
    <s v="HENRIQUERSON"/>
    <x v="1"/>
    <x v="0"/>
    <n v="112000"/>
    <n v="35"/>
    <n v="35"/>
    <n v="26770.68"/>
    <n v="19581.097322000001"/>
    <n v="0"/>
    <n v="26.86"/>
    <n v="30.12"/>
    <n v="511611.31"/>
    <n v="387941.85510500002"/>
    <n v="0"/>
    <n v="24.17"/>
    <n v="21"/>
    <n v="19"/>
    <n v="19"/>
    <n v="222"/>
    <n v="10.039999999999999"/>
    <n v="112000"/>
    <n v="0"/>
    <n v="0"/>
    <n v="24.8"/>
    <n v="2782"/>
    <n v="838000"/>
    <n v="838000"/>
    <n v="583373.18000000005"/>
    <n v="621"/>
    <n v="453"/>
    <n v="621"/>
  </r>
  <r>
    <n v="6"/>
    <x v="3"/>
    <n v="746"/>
    <s v="LUANA"/>
    <x v="1"/>
    <x v="0"/>
    <n v="100000"/>
    <n v="60"/>
    <n v="60"/>
    <n v="50280.45"/>
    <n v="38102.277647000003"/>
    <n v="0"/>
    <n v="24.22"/>
    <n v="25.74"/>
    <n v="353500.19"/>
    <n v="263150.449012"/>
    <n v="0"/>
    <n v="25.56"/>
    <n v="34"/>
    <n v="19"/>
    <n v="19"/>
    <n v="240"/>
    <n v="9.09"/>
    <n v="100000"/>
    <n v="0"/>
    <n v="0"/>
    <n v="18.46"/>
    <n v="2782"/>
    <n v="1054000"/>
    <n v="1054000"/>
    <n v="562468.07999999996"/>
    <n v="923"/>
    <n v="588"/>
    <n v="923"/>
  </r>
  <r>
    <n v="2"/>
    <x v="0"/>
    <n v="756"/>
    <s v="EDERLEI"/>
    <x v="1"/>
    <x v="0"/>
    <n v="110000"/>
    <n v="65"/>
    <n v="65"/>
    <n v="93616.66"/>
    <n v="71138.811409999995"/>
    <n v="0"/>
    <n v="24.01"/>
    <n v="32.04"/>
    <n v="908207.64"/>
    <n v="677234.64758200001"/>
    <n v="0"/>
    <n v="25.43"/>
    <n v="65"/>
    <n v="19"/>
    <n v="19"/>
    <n v="284"/>
    <n v="9.84"/>
    <n v="110000"/>
    <n v="66.84"/>
    <n v="2"/>
    <n v="21.72"/>
    <n v="2782"/>
    <n v="1331000"/>
    <n v="1331000"/>
    <n v="1018464.25"/>
    <n v="845"/>
    <n v="634"/>
    <n v="845"/>
  </r>
  <r>
    <n v="26"/>
    <x v="4"/>
    <n v="759"/>
    <s v="FRANCISCA"/>
    <x v="1"/>
    <x v="0"/>
    <n v="52000"/>
    <n v="49"/>
    <n v="49"/>
    <n v="39211"/>
    <n v="29485.023343000001"/>
    <n v="0"/>
    <n v="24.8"/>
    <n v="19.47"/>
    <n v="511611.31"/>
    <n v="387941.85510500002"/>
    <n v="0"/>
    <n v="24.17"/>
    <n v="47"/>
    <n v="19"/>
    <n v="19"/>
    <n v="233"/>
    <n v="10.24"/>
    <n v="52000"/>
    <n v="0"/>
    <n v="1"/>
    <n v="24.8"/>
    <n v="2782"/>
    <n v="838000"/>
    <n v="838000"/>
    <n v="583373.18000000005"/>
    <n v="621"/>
    <n v="453"/>
    <n v="621"/>
  </r>
  <r>
    <n v="5"/>
    <x v="5"/>
    <n v="760"/>
    <s v="JEAN"/>
    <x v="1"/>
    <x v="0"/>
    <n v="160000"/>
    <n v="30"/>
    <n v="30"/>
    <n v="110905.92"/>
    <n v="83562.980850000007"/>
    <n v="0"/>
    <n v="24.65"/>
    <n v="40.67"/>
    <n v="256363.87"/>
    <n v="192405.98953799999"/>
    <n v="0"/>
    <n v="24.95"/>
    <n v="32"/>
    <n v="19"/>
    <n v="19"/>
    <n v="146"/>
    <n v="5.95"/>
    <n v="160000"/>
    <n v="7881.11"/>
    <n v="0"/>
    <n v="21.71"/>
    <n v="2782"/>
    <n v="450000"/>
    <n v="450000"/>
    <n v="215464.54"/>
    <n v="200"/>
    <n v="116"/>
    <n v="200"/>
  </r>
  <r>
    <n v="6"/>
    <x v="3"/>
    <n v="764"/>
    <s v="JORGE"/>
    <x v="1"/>
    <x v="0"/>
    <n v="109000"/>
    <n v="83"/>
    <n v="83"/>
    <n v="71365.97"/>
    <n v="53102.505793999997"/>
    <n v="0"/>
    <n v="25.59"/>
    <n v="19.21"/>
    <n v="353500.19"/>
    <n v="263150.449012"/>
    <n v="0"/>
    <n v="25.56"/>
    <n v="60"/>
    <n v="19"/>
    <n v="19"/>
    <n v="424"/>
    <n v="12.85"/>
    <n v="109000"/>
    <n v="705.34"/>
    <n v="0"/>
    <n v="18.46"/>
    <n v="2782"/>
    <n v="1054000"/>
    <n v="1054000"/>
    <n v="562468.07999999996"/>
    <n v="923"/>
    <n v="588"/>
    <n v="923"/>
  </r>
  <r>
    <n v="2"/>
    <x v="0"/>
    <n v="774"/>
    <s v="MAURO"/>
    <x v="1"/>
    <x v="0"/>
    <n v="115000"/>
    <n v="80"/>
    <n v="80"/>
    <n v="60234.76"/>
    <n v="44239.150031999998"/>
    <n v="0"/>
    <n v="26.56"/>
    <n v="15.5"/>
    <n v="908207.64"/>
    <n v="677234.64758200001"/>
    <n v="0"/>
    <n v="25.43"/>
    <n v="54"/>
    <n v="19"/>
    <n v="19"/>
    <n v="281"/>
    <n v="9.85"/>
    <n v="115000"/>
    <n v="10409.799999999999"/>
    <n v="0"/>
    <n v="21.72"/>
    <n v="2782"/>
    <n v="1331000"/>
    <n v="1331000"/>
    <n v="1018464.25"/>
    <n v="845"/>
    <n v="634"/>
    <n v="845"/>
  </r>
  <r>
    <n v="26"/>
    <x v="4"/>
    <n v="796"/>
    <s v="PEDRO"/>
    <x v="1"/>
    <x v="0"/>
    <n v="38000"/>
    <n v="2"/>
    <n v="2"/>
    <n v="27987.56"/>
    <n v="23251.737056000002"/>
    <n v="0"/>
    <n v="16.920000000000002"/>
    <n v="40.57"/>
    <n v="511611.31"/>
    <n v="387941.85510500002"/>
    <n v="0"/>
    <n v="24.17"/>
    <n v="1"/>
    <n v="19"/>
    <n v="19"/>
    <n v="87"/>
    <n v="6.86"/>
    <n v="38000"/>
    <n v="1440.72"/>
    <n v="0"/>
    <n v="24.8"/>
    <n v="2782"/>
    <n v="838000"/>
    <n v="838000"/>
    <n v="583373.18000000005"/>
    <n v="621"/>
    <n v="453"/>
    <n v="621"/>
  </r>
  <r>
    <n v="12"/>
    <x v="6"/>
    <n v="800"/>
    <s v="WANDERSON"/>
    <x v="1"/>
    <x v="0"/>
    <n v="60000"/>
    <n v="70"/>
    <n v="70"/>
    <n v="22494.69"/>
    <n v="17047.224123"/>
    <n v="0"/>
    <n v="24.22"/>
    <n v="10.38"/>
    <n v="306647.53999999998"/>
    <n v="231754.31285799999"/>
    <n v="0"/>
    <n v="24.42"/>
    <n v="43"/>
    <n v="19"/>
    <n v="19"/>
    <n v="186"/>
    <n v="7.09"/>
    <n v="60000"/>
    <n v="2238.4499999999998"/>
    <n v="2"/>
    <n v="27.94"/>
    <n v="2782"/>
    <n v="665000"/>
    <n v="665000"/>
    <n v="347546.87"/>
    <n v="750"/>
    <n v="439"/>
    <n v="750"/>
  </r>
  <r>
    <n v="2"/>
    <x v="0"/>
    <n v="817"/>
    <s v="GUTEMBERG"/>
    <x v="1"/>
    <x v="0"/>
    <n v="115000"/>
    <n v="70"/>
    <n v="70"/>
    <n v="116132.99"/>
    <n v="85515.052628000005"/>
    <n v="0"/>
    <n v="26.36"/>
    <n v="22.01"/>
    <n v="908207.64"/>
    <n v="677234.64758200001"/>
    <n v="0"/>
    <n v="25.43"/>
    <n v="60"/>
    <n v="19"/>
    <n v="19"/>
    <n v="407"/>
    <n v="13.42"/>
    <n v="115000"/>
    <n v="358.2"/>
    <n v="1"/>
    <n v="21.72"/>
    <n v="2782"/>
    <n v="1331000"/>
    <n v="1331000"/>
    <n v="1018464.25"/>
    <n v="845"/>
    <n v="634"/>
    <n v="845"/>
  </r>
  <r>
    <n v="12"/>
    <x v="6"/>
    <n v="853"/>
    <s v="KELLY"/>
    <x v="1"/>
    <x v="0"/>
    <n v="60000"/>
    <n v="65"/>
    <n v="65"/>
    <n v="32024.46"/>
    <n v="24429.487878"/>
    <n v="0"/>
    <n v="23.72"/>
    <n v="13.97"/>
    <n v="306647.53999999998"/>
    <n v="231754.31285799999"/>
    <n v="0"/>
    <n v="24.42"/>
    <n v="48"/>
    <n v="19"/>
    <n v="19"/>
    <n v="222"/>
    <n v="8.73"/>
    <n v="60000"/>
    <n v="443.34"/>
    <n v="0"/>
    <n v="27.94"/>
    <n v="2782"/>
    <n v="665000"/>
    <n v="665000"/>
    <n v="347546.87"/>
    <n v="750"/>
    <n v="439"/>
    <n v="750"/>
  </r>
  <r>
    <n v="10"/>
    <x v="1"/>
    <n v="864"/>
    <s v="JOAO"/>
    <x v="1"/>
    <x v="0"/>
    <n v="45000"/>
    <n v="35"/>
    <n v="35"/>
    <n v="5455.62"/>
    <n v="3952.9250959999999"/>
    <n v="0"/>
    <n v="27.54"/>
    <n v="20.28"/>
    <n v="612464.30000000005"/>
    <n v="455858.53905299999"/>
    <n v="0"/>
    <n v="25.57"/>
    <n v="7"/>
    <n v="19"/>
    <n v="19"/>
    <n v="84"/>
    <n v="13.57"/>
    <n v="45000"/>
    <n v="0"/>
    <n v="0"/>
    <n v="21.15"/>
    <n v="2782"/>
    <n v="720000"/>
    <n v="720000"/>
    <n v="415422.74"/>
    <n v="525"/>
    <n v="429"/>
    <n v="525"/>
  </r>
  <r>
    <n v="12"/>
    <x v="6"/>
    <n v="884"/>
    <s v="JOILSON"/>
    <x v="1"/>
    <x v="0"/>
    <n v="50000"/>
    <n v="60"/>
    <n v="60"/>
    <n v="0"/>
    <n v="1468.628422"/>
    <n v="0"/>
    <n v="0"/>
    <n v="1"/>
    <n v="306647.53999999998"/>
    <n v="231754.31285799999"/>
    <n v="0"/>
    <n v="24.42"/>
    <n v="0"/>
    <n v="19"/>
    <n v="19"/>
    <n v="22"/>
    <n v="2.17"/>
    <n v="50000"/>
    <n v="0"/>
    <n v="0"/>
    <n v="27.94"/>
    <n v="2782"/>
    <n v="665000"/>
    <n v="665000"/>
    <n v="347546.87"/>
    <n v="750"/>
    <n v="439"/>
    <n v="750"/>
  </r>
  <r>
    <n v="10"/>
    <x v="1"/>
    <n v="922"/>
    <s v="SILVANA"/>
    <x v="1"/>
    <x v="0"/>
    <n v="60000"/>
    <n v="65"/>
    <n v="65"/>
    <n v="54045.71"/>
    <n v="39787.175691999997"/>
    <n v="0"/>
    <n v="26.38"/>
    <n v="17.190000000000001"/>
    <n v="612464.30000000005"/>
    <n v="455858.53905299999"/>
    <n v="0"/>
    <n v="25.57"/>
    <n v="56"/>
    <n v="19"/>
    <n v="19"/>
    <n v="490"/>
    <n v="11.86"/>
    <n v="60000"/>
    <n v="2688.4"/>
    <n v="0"/>
    <n v="21.15"/>
    <n v="2782"/>
    <n v="720000"/>
    <n v="720000"/>
    <n v="415422.74"/>
    <n v="525"/>
    <n v="429"/>
    <n v="525"/>
  </r>
  <r>
    <n v="4"/>
    <x v="2"/>
    <n v="949"/>
    <s v="JOCINELMA"/>
    <x v="1"/>
    <x v="0"/>
    <n v="115000"/>
    <n v="60"/>
    <n v="60"/>
    <n v="88963.23"/>
    <n v="63376.369452999999"/>
    <n v="0"/>
    <n v="28.76"/>
    <n v="23.73"/>
    <n v="513639.38"/>
    <n v="369001.02627799998"/>
    <n v="0"/>
    <n v="28.16"/>
    <n v="50"/>
    <n v="19"/>
    <n v="19"/>
    <n v="581"/>
    <n v="16.71"/>
    <n v="115000"/>
    <n v="0"/>
    <n v="1"/>
    <n v="23.12"/>
    <n v="2782"/>
    <n v="760000"/>
    <n v="760000"/>
    <n v="534115.29"/>
    <n v="483"/>
    <n v="353"/>
    <n v="483"/>
  </r>
  <r>
    <n v="26"/>
    <x v="4"/>
    <n v="950"/>
    <s v="PEDRO"/>
    <x v="1"/>
    <x v="0"/>
    <n v="42000"/>
    <n v="46"/>
    <n v="46"/>
    <n v="29291.74"/>
    <n v="22710.38596"/>
    <n v="0"/>
    <n v="22.47"/>
    <n v="26.07"/>
    <n v="511611.31"/>
    <n v="387941.85510500002"/>
    <n v="0"/>
    <n v="24.17"/>
    <n v="46"/>
    <n v="19"/>
    <n v="19"/>
    <n v="224"/>
    <n v="6.07"/>
    <n v="42000"/>
    <n v="0"/>
    <n v="2"/>
    <n v="24.8"/>
    <n v="2782"/>
    <n v="838000"/>
    <n v="838000"/>
    <n v="583373.18000000005"/>
    <n v="621"/>
    <n v="453"/>
    <n v="621"/>
  </r>
  <r>
    <n v="6"/>
    <x v="3"/>
    <n v="953"/>
    <s v="MANOEL"/>
    <x v="1"/>
    <x v="0"/>
    <n v="55000"/>
    <n v="60"/>
    <n v="60"/>
    <n v="12128.42"/>
    <n v="9236.2761559999999"/>
    <n v="0"/>
    <n v="23.85"/>
    <n v="16.96"/>
    <n v="353500.19"/>
    <n v="263150.449012"/>
    <n v="0"/>
    <n v="25.56"/>
    <n v="24"/>
    <n v="19"/>
    <n v="19"/>
    <n v="86"/>
    <n v="6.04"/>
    <n v="55000"/>
    <n v="771.65"/>
    <n v="0"/>
    <n v="18.46"/>
    <n v="2782"/>
    <n v="1054000"/>
    <n v="1054000"/>
    <n v="562468.07999999996"/>
    <n v="923"/>
    <n v="588"/>
    <n v="923"/>
  </r>
  <r>
    <n v="26"/>
    <x v="4"/>
    <n v="962"/>
    <s v="ROMARIO"/>
    <x v="1"/>
    <x v="0"/>
    <n v="50000"/>
    <n v="49"/>
    <n v="49"/>
    <n v="30319.86"/>
    <n v="22876.545473999999"/>
    <n v="0"/>
    <n v="24.55"/>
    <n v="18.309999999999999"/>
    <n v="511611.31"/>
    <n v="387941.85510500002"/>
    <n v="0"/>
    <n v="24.17"/>
    <n v="41"/>
    <n v="19"/>
    <n v="19"/>
    <n v="276"/>
    <n v="9.49"/>
    <n v="50000"/>
    <n v="0"/>
    <n v="0"/>
    <n v="24.8"/>
    <n v="2782"/>
    <n v="838000"/>
    <n v="838000"/>
    <n v="583373.18000000005"/>
    <n v="621"/>
    <n v="453"/>
    <n v="621"/>
  </r>
  <r>
    <n v="4"/>
    <x v="2"/>
    <n v="977"/>
    <s v="EVERTON"/>
    <x v="1"/>
    <x v="0"/>
    <n v="150000"/>
    <n v="104"/>
    <n v="104"/>
    <n v="122450.51"/>
    <n v="86272.048125000001"/>
    <n v="0"/>
    <n v="29.55"/>
    <n v="22.67"/>
    <n v="513639.38"/>
    <n v="369001.02627799998"/>
    <n v="0"/>
    <n v="28.16"/>
    <n v="71"/>
    <n v="19"/>
    <n v="19"/>
    <n v="687"/>
    <n v="17.420000000000002"/>
    <n v="150000"/>
    <n v="0"/>
    <n v="3"/>
    <n v="23.12"/>
    <n v="2782"/>
    <n v="760000"/>
    <n v="760000"/>
    <n v="534115.29"/>
    <n v="483"/>
    <n v="353"/>
    <n v="483"/>
  </r>
  <r>
    <n v="6"/>
    <x v="3"/>
    <n v="983"/>
    <s v="CRISTIELLEN"/>
    <x v="1"/>
    <x v="0"/>
    <n v="64000"/>
    <n v="61"/>
    <n v="61"/>
    <n v="42568.63"/>
    <n v="31429.711241000001"/>
    <n v="0"/>
    <n v="26.17"/>
    <n v="18.510000000000002"/>
    <n v="353500.19"/>
    <n v="263150.449012"/>
    <n v="0"/>
    <n v="25.56"/>
    <n v="36"/>
    <n v="19"/>
    <n v="19"/>
    <n v="345"/>
    <n v="16.05"/>
    <n v="64000"/>
    <n v="0"/>
    <n v="0"/>
    <n v="18.46"/>
    <n v="2782"/>
    <n v="1054000"/>
    <n v="1054000"/>
    <n v="562468.07999999996"/>
    <n v="923"/>
    <n v="588"/>
    <n v="923"/>
  </r>
  <r>
    <n v="5"/>
    <x v="5"/>
    <n v="1004"/>
    <s v="JAQUELINE"/>
    <x v="1"/>
    <x v="0"/>
    <n v="0"/>
    <n v="0"/>
    <n v="0"/>
    <n v="11276.23"/>
    <n v="8380.2364080000007"/>
    <n v="0"/>
    <n v="25.68"/>
    <n v="33.72"/>
    <n v="256363.87"/>
    <n v="192405.98953799999"/>
    <n v="0"/>
    <n v="24.95"/>
    <n v="16"/>
    <n v="19"/>
    <n v="19"/>
    <n v="91"/>
    <n v="11.06"/>
    <n v="0"/>
    <n v="4744.92"/>
    <n v="0"/>
    <n v="21.71"/>
    <n v="2782"/>
    <n v="450000"/>
    <n v="450000"/>
    <n v="215464.54"/>
    <n v="200"/>
    <n v="116"/>
    <n v="200"/>
  </r>
  <r>
    <n v="26"/>
    <x v="4"/>
    <n v="1023"/>
    <s v="JOSINILDO"/>
    <x v="1"/>
    <x v="0"/>
    <n v="60000"/>
    <n v="49"/>
    <n v="49"/>
    <n v="69591.259999999995"/>
    <n v="51810.060129999998"/>
    <n v="0"/>
    <n v="25.55"/>
    <n v="23.63"/>
    <n v="511611.31"/>
    <n v="387941.85510500002"/>
    <n v="0"/>
    <n v="24.17"/>
    <n v="49"/>
    <n v="19"/>
    <n v="19"/>
    <n v="391"/>
    <n v="10.15"/>
    <n v="60000"/>
    <n v="1547.29"/>
    <n v="2"/>
    <n v="24.8"/>
    <n v="2782"/>
    <n v="838000"/>
    <n v="838000"/>
    <n v="583373.18000000005"/>
    <n v="621"/>
    <n v="453"/>
    <n v="621"/>
  </r>
  <r>
    <n v="12"/>
    <x v="6"/>
    <n v="1036"/>
    <s v="LUIZ"/>
    <x v="1"/>
    <x v="0"/>
    <n v="50000"/>
    <n v="60"/>
    <n v="60"/>
    <n v="29423.439999999999"/>
    <n v="21916.204195999999"/>
    <n v="0"/>
    <n v="25.51"/>
    <n v="15.77"/>
    <n v="306647.53999999998"/>
    <n v="231754.31285799999"/>
    <n v="0"/>
    <n v="24.42"/>
    <n v="34"/>
    <n v="19"/>
    <n v="19"/>
    <n v="253"/>
    <n v="11.44"/>
    <n v="50000"/>
    <n v="0"/>
    <n v="1"/>
    <n v="27.94"/>
    <n v="2782"/>
    <n v="665000"/>
    <n v="665000"/>
    <n v="347546.87"/>
    <n v="750"/>
    <n v="439"/>
    <n v="750"/>
  </r>
  <r>
    <n v="12"/>
    <x v="6"/>
    <n v="1068"/>
    <s v="AMARO"/>
    <x v="1"/>
    <x v="0"/>
    <n v="70000"/>
    <n v="65"/>
    <n v="65"/>
    <n v="45254.8"/>
    <n v="33843.137391999997"/>
    <n v="0"/>
    <n v="25.22"/>
    <n v="19.02"/>
    <n v="306647.53999999998"/>
    <n v="231754.31285799999"/>
    <n v="0"/>
    <n v="24.42"/>
    <n v="42"/>
    <n v="19"/>
    <n v="19"/>
    <n v="278"/>
    <n v="10.44"/>
    <n v="70000"/>
    <n v="707.84"/>
    <n v="0"/>
    <n v="27.94"/>
    <n v="2782"/>
    <n v="665000"/>
    <n v="665000"/>
    <n v="347546.87"/>
    <n v="750"/>
    <n v="439"/>
    <n v="750"/>
  </r>
  <r>
    <n v="5"/>
    <x v="5"/>
    <n v="1125"/>
    <s v="JOSE"/>
    <x v="1"/>
    <x v="0"/>
    <n v="80000"/>
    <n v="20"/>
    <n v="20"/>
    <n v="43053.919999999998"/>
    <n v="32445.137788"/>
    <n v="0"/>
    <n v="24.64"/>
    <n v="33.07"/>
    <n v="256363.87"/>
    <n v="192405.98953799999"/>
    <n v="0"/>
    <n v="24.95"/>
    <n v="19"/>
    <n v="19"/>
    <n v="19"/>
    <n v="45"/>
    <n v="4.4000000000000004"/>
    <n v="80000"/>
    <n v="392.77"/>
    <n v="0"/>
    <n v="21.71"/>
    <n v="2782"/>
    <n v="450000"/>
    <n v="450000"/>
    <n v="215464.54"/>
    <n v="200"/>
    <n v="116"/>
    <n v="200"/>
  </r>
  <r>
    <n v="20"/>
    <x v="7"/>
    <n v="1155"/>
    <s v="HERNEN"/>
    <x v="1"/>
    <x v="0"/>
    <n v="80000"/>
    <n v="80"/>
    <n v="80"/>
    <n v="2444.34"/>
    <n v="3058.5214089999999"/>
    <n v="0"/>
    <n v="-25.13"/>
    <n v="15.22"/>
    <n v="403253.01"/>
    <n v="299537.48450800002"/>
    <n v="0"/>
    <n v="25.72"/>
    <n v="5"/>
    <n v="19"/>
    <n v="19"/>
    <n v="35"/>
    <n v="2.64"/>
    <n v="80000"/>
    <n v="0"/>
    <n v="0"/>
    <n v="37.15"/>
    <n v="2782"/>
    <n v="331000"/>
    <n v="331000"/>
    <n v="124844.86"/>
    <n v="285"/>
    <n v="87"/>
    <n v="285"/>
  </r>
  <r>
    <n v="5"/>
    <x v="5"/>
    <n v="1158"/>
    <s v="CLEITON"/>
    <x v="1"/>
    <x v="0"/>
    <n v="60000"/>
    <n v="70"/>
    <n v="70"/>
    <n v="4624.8599999999997"/>
    <n v="3480.9268350000002"/>
    <n v="0"/>
    <n v="24.73"/>
    <n v="13.43"/>
    <n v="256363.87"/>
    <n v="192405.98953799999"/>
    <n v="0"/>
    <n v="24.95"/>
    <n v="6"/>
    <n v="19"/>
    <n v="19"/>
    <n v="79"/>
    <n v="14.57"/>
    <n v="60000"/>
    <n v="0"/>
    <n v="0"/>
    <n v="21.71"/>
    <n v="2782"/>
    <n v="450000"/>
    <n v="450000"/>
    <n v="215464.54"/>
    <n v="200"/>
    <n v="116"/>
    <n v="200"/>
  </r>
  <r>
    <n v="6"/>
    <x v="3"/>
    <n v="1171"/>
    <s v="EMANUEL"/>
    <x v="1"/>
    <x v="0"/>
    <n v="74000"/>
    <n v="62"/>
    <n v="62"/>
    <n v="43030.239999999998"/>
    <n v="31803.052501999999"/>
    <n v="0"/>
    <n v="26.09"/>
    <n v="17.690000000000001"/>
    <n v="353500.19"/>
    <n v="263150.449012"/>
    <n v="0"/>
    <n v="25.56"/>
    <n v="44"/>
    <n v="19"/>
    <n v="19"/>
    <n v="385"/>
    <n v="15.21"/>
    <n v="74000"/>
    <n v="56.25"/>
    <n v="0"/>
    <n v="18.46"/>
    <n v="2782"/>
    <n v="1054000"/>
    <n v="1054000"/>
    <n v="562468.07999999996"/>
    <n v="923"/>
    <n v="588"/>
    <n v="923"/>
  </r>
  <r>
    <n v="6"/>
    <x v="3"/>
    <n v="1237"/>
    <s v="MARCOS"/>
    <x v="1"/>
    <x v="0"/>
    <n v="84000"/>
    <n v="76"/>
    <n v="76"/>
    <n v="22143.89"/>
    <n v="16205.944391999999"/>
    <n v="0"/>
    <n v="26.82"/>
    <n v="19.93"/>
    <n v="353500.19"/>
    <n v="263150.449012"/>
    <n v="0"/>
    <n v="25.56"/>
    <n v="28"/>
    <n v="19"/>
    <n v="19"/>
    <n v="120"/>
    <n v="9.41"/>
    <n v="84000"/>
    <n v="368.3"/>
    <n v="0"/>
    <n v="18.46"/>
    <n v="2782"/>
    <n v="1054000"/>
    <n v="1054000"/>
    <n v="562468.07999999996"/>
    <n v="923"/>
    <n v="588"/>
    <n v="923"/>
  </r>
  <r>
    <n v="26"/>
    <x v="4"/>
    <n v="1238"/>
    <s v="MARY"/>
    <x v="1"/>
    <x v="0"/>
    <n v="60000"/>
    <n v="13"/>
    <n v="13"/>
    <n v="45535.360000000001"/>
    <n v="33413.930740999996"/>
    <n v="0"/>
    <n v="26.62"/>
    <n v="30.57"/>
    <n v="511611.31"/>
    <n v="387941.85510500002"/>
    <n v="0"/>
    <n v="24.17"/>
    <n v="15"/>
    <n v="19"/>
    <n v="19"/>
    <n v="113"/>
    <n v="9.9600000000000009"/>
    <n v="60000"/>
    <n v="0"/>
    <n v="6"/>
    <n v="24.8"/>
    <n v="2782"/>
    <n v="838000"/>
    <n v="838000"/>
    <n v="583373.18000000005"/>
    <n v="621"/>
    <n v="453"/>
    <n v="621"/>
  </r>
  <r>
    <n v="6"/>
    <x v="3"/>
    <n v="1241"/>
    <s v="JEAN"/>
    <x v="1"/>
    <x v="0"/>
    <n v="90000"/>
    <n v="80"/>
    <n v="80"/>
    <n v="40427.01"/>
    <n v="29409.378367000001"/>
    <n v="0"/>
    <n v="27.25"/>
    <n v="19.72"/>
    <n v="353500.19"/>
    <n v="263150.449012"/>
    <n v="0"/>
    <n v="25.56"/>
    <n v="55"/>
    <n v="19"/>
    <n v="19"/>
    <n v="338"/>
    <n v="11"/>
    <n v="90000"/>
    <n v="347.89"/>
    <n v="0"/>
    <n v="18.46"/>
    <n v="2782"/>
    <n v="1054000"/>
    <n v="1054000"/>
    <n v="562468.07999999996"/>
    <n v="923"/>
    <n v="588"/>
    <n v="923"/>
  </r>
  <r>
    <n v="26"/>
    <x v="4"/>
    <n v="1265"/>
    <s v="SAMUEL"/>
    <x v="1"/>
    <x v="0"/>
    <n v="110000"/>
    <n v="89"/>
    <n v="89"/>
    <n v="118281.16"/>
    <n v="91210.469142000002"/>
    <n v="0"/>
    <n v="22.89"/>
    <n v="23.06"/>
    <n v="511611.31"/>
    <n v="387941.85510500002"/>
    <n v="0"/>
    <n v="24.17"/>
    <n v="59"/>
    <n v="19"/>
    <n v="19"/>
    <n v="316"/>
    <n v="7.18"/>
    <n v="110000"/>
    <n v="7572.54"/>
    <n v="2"/>
    <n v="24.8"/>
    <n v="2782"/>
    <n v="838000"/>
    <n v="838000"/>
    <n v="583373.18000000005"/>
    <n v="621"/>
    <n v="453"/>
    <n v="621"/>
  </r>
  <r>
    <n v="10"/>
    <x v="1"/>
    <n v="1271"/>
    <s v="ALISON"/>
    <x v="1"/>
    <x v="0"/>
    <n v="85000"/>
    <n v="65"/>
    <n v="65"/>
    <n v="53165.33"/>
    <n v="39234.603144000001"/>
    <n v="0"/>
    <n v="26.2"/>
    <n v="13.54"/>
    <n v="612464.30000000005"/>
    <n v="455858.53905299999"/>
    <n v="0"/>
    <n v="25.57"/>
    <n v="68"/>
    <n v="19"/>
    <n v="19"/>
    <n v="418"/>
    <n v="11.06"/>
    <n v="85000"/>
    <n v="1269.6600000000001"/>
    <n v="2"/>
    <n v="21.15"/>
    <n v="2782"/>
    <n v="720000"/>
    <n v="720000"/>
    <n v="415422.74"/>
    <n v="525"/>
    <n v="429"/>
    <n v="525"/>
  </r>
  <r>
    <n v="2"/>
    <x v="0"/>
    <n v="1280"/>
    <s v="ARIANE"/>
    <x v="1"/>
    <x v="0"/>
    <n v="90000"/>
    <n v="60"/>
    <n v="60"/>
    <n v="101005.5"/>
    <n v="72385.312109999999"/>
    <n v="0"/>
    <n v="28.34"/>
    <n v="20.88"/>
    <n v="908207.64"/>
    <n v="677234.64758200001"/>
    <n v="0"/>
    <n v="25.43"/>
    <n v="63"/>
    <n v="19"/>
    <n v="19"/>
    <n v="645"/>
    <n v="16.34"/>
    <n v="90000"/>
    <n v="532.28"/>
    <n v="1"/>
    <n v="21.72"/>
    <n v="2782"/>
    <n v="1331000"/>
    <n v="1331000"/>
    <n v="1018464.25"/>
    <n v="845"/>
    <n v="634"/>
    <n v="845"/>
  </r>
  <r>
    <n v="17"/>
    <x v="8"/>
    <n v="1292"/>
    <s v="EMANOEL"/>
    <x v="1"/>
    <x v="0"/>
    <n v="100000"/>
    <n v="55"/>
    <n v="55"/>
    <n v="104379.93"/>
    <n v="71566.933313999994"/>
    <n v="0"/>
    <n v="31.44"/>
    <n v="23.24"/>
    <n v="296737.34000000003"/>
    <n v="207292.61917799999"/>
    <n v="0"/>
    <n v="30.14"/>
    <n v="49"/>
    <n v="19"/>
    <n v="19"/>
    <n v="572"/>
    <n v="18.91"/>
    <n v="100000"/>
    <n v="1112.83"/>
    <n v="0"/>
    <n v="23.4"/>
    <n v="2782"/>
    <n v="621000"/>
    <n v="621000"/>
    <n v="306617.2"/>
    <n v="340"/>
    <n v="138"/>
    <n v="340"/>
  </r>
  <r>
    <n v="12"/>
    <x v="6"/>
    <n v="1330"/>
    <s v="LUIZ"/>
    <x v="1"/>
    <x v="0"/>
    <n v="60000"/>
    <n v="70"/>
    <n v="70"/>
    <n v="24226.59"/>
    <n v="19243.580254"/>
    <n v="0"/>
    <n v="20.57"/>
    <n v="12.44"/>
    <n v="306647.53999999998"/>
    <n v="231754.31285799999"/>
    <n v="0"/>
    <n v="24.42"/>
    <n v="34"/>
    <n v="19"/>
    <n v="19"/>
    <n v="142"/>
    <n v="6.48"/>
    <n v="60000"/>
    <n v="992.06"/>
    <n v="0"/>
    <n v="27.94"/>
    <n v="2782"/>
    <n v="665000"/>
    <n v="665000"/>
    <n v="347546.87"/>
    <n v="750"/>
    <n v="439"/>
    <n v="750"/>
  </r>
  <r>
    <n v="26"/>
    <x v="4"/>
    <n v="1336"/>
    <s v="REGINALDO"/>
    <x v="1"/>
    <x v="0"/>
    <n v="55000"/>
    <n v="57"/>
    <n v="57"/>
    <n v="30080.14"/>
    <n v="21236.054324000001"/>
    <n v="0"/>
    <n v="29.4"/>
    <n v="17.670000000000002"/>
    <n v="511611.31"/>
    <n v="387941.85510500002"/>
    <n v="0"/>
    <n v="24.17"/>
    <n v="25"/>
    <n v="19"/>
    <n v="19"/>
    <n v="227"/>
    <n v="12.46"/>
    <n v="55000"/>
    <n v="0"/>
    <n v="0"/>
    <n v="24.8"/>
    <n v="2782"/>
    <n v="838000"/>
    <n v="838000"/>
    <n v="583373.18000000005"/>
    <n v="621"/>
    <n v="453"/>
    <n v="621"/>
  </r>
  <r>
    <n v="17"/>
    <x v="8"/>
    <n v="1343"/>
    <s v="J.CRUZ"/>
    <x v="1"/>
    <x v="0"/>
    <n v="45000"/>
    <n v="1"/>
    <n v="1"/>
    <n v="1850.03"/>
    <n v="1335.228204"/>
    <n v="0"/>
    <n v="27.83"/>
    <n v="28"/>
    <n v="296737.34000000003"/>
    <n v="207292.61917799999"/>
    <n v="0"/>
    <n v="30.14"/>
    <n v="1"/>
    <n v="19"/>
    <n v="19"/>
    <n v="14"/>
    <n v="7"/>
    <n v="45000"/>
    <n v="103.6"/>
    <n v="0"/>
    <n v="23.4"/>
    <n v="2782"/>
    <n v="621000"/>
    <n v="621000"/>
    <n v="306617.2"/>
    <n v="340"/>
    <n v="138"/>
    <n v="340"/>
  </r>
  <r>
    <n v="10"/>
    <x v="1"/>
    <n v="1359"/>
    <s v="HENRIQUE"/>
    <x v="1"/>
    <x v="0"/>
    <n v="80000"/>
    <n v="50"/>
    <n v="50"/>
    <n v="36837.440000000002"/>
    <n v="26289.232777000001"/>
    <n v="0"/>
    <n v="28.63"/>
    <n v="24.76"/>
    <n v="612464.30000000005"/>
    <n v="455858.53905299999"/>
    <n v="0"/>
    <n v="25.57"/>
    <n v="28"/>
    <n v="19"/>
    <n v="19"/>
    <n v="135"/>
    <n v="8.3800000000000008"/>
    <n v="80000"/>
    <n v="3726.34"/>
    <n v="0"/>
    <n v="21.15"/>
    <n v="2782"/>
    <n v="720000"/>
    <n v="720000"/>
    <n v="415422.74"/>
    <n v="525"/>
    <n v="429"/>
    <n v="525"/>
  </r>
  <r>
    <n v="6"/>
    <x v="3"/>
    <n v="1385"/>
    <s v="ADAUTO"/>
    <x v="1"/>
    <x v="0"/>
    <n v="78000"/>
    <n v="77"/>
    <n v="77"/>
    <n v="66034.2"/>
    <n v="49461.843953000003"/>
    <n v="0"/>
    <n v="25.1"/>
    <n v="18.350000000000001"/>
    <n v="353500.19"/>
    <n v="263150.449012"/>
    <n v="0"/>
    <n v="25.56"/>
    <n v="77"/>
    <n v="19"/>
    <n v="19"/>
    <n v="487"/>
    <n v="13.2"/>
    <n v="78000"/>
    <n v="245.58"/>
    <n v="0"/>
    <n v="18.46"/>
    <n v="2782"/>
    <n v="1054000"/>
    <n v="1054000"/>
    <n v="562468.07999999996"/>
    <n v="923"/>
    <n v="588"/>
    <n v="923"/>
  </r>
  <r>
    <n v="20"/>
    <x v="7"/>
    <n v="1387"/>
    <s v="JANDERSON"/>
    <x v="1"/>
    <x v="0"/>
    <n v="60000"/>
    <n v="45"/>
    <n v="45"/>
    <n v="30244.49"/>
    <n v="22055.737588"/>
    <n v="0"/>
    <n v="27.08"/>
    <n v="43.07"/>
    <n v="403253.01"/>
    <n v="299537.48450800002"/>
    <n v="0"/>
    <n v="25.72"/>
    <n v="13"/>
    <n v="19"/>
    <n v="19"/>
    <n v="115"/>
    <n v="7.5"/>
    <n v="60000"/>
    <n v="4464.21"/>
    <n v="0"/>
    <n v="37.15"/>
    <n v="2782"/>
    <n v="331000"/>
    <n v="331000"/>
    <n v="124844.86"/>
    <n v="285"/>
    <n v="87"/>
    <n v="285"/>
  </r>
  <r>
    <n v="12"/>
    <x v="6"/>
    <n v="1390"/>
    <s v="ADINALVA"/>
    <x v="1"/>
    <x v="0"/>
    <n v="60000"/>
    <n v="60"/>
    <n v="60"/>
    <n v="27804.71"/>
    <n v="20454.286979"/>
    <n v="0"/>
    <n v="26.44"/>
    <n v="15.74"/>
    <n v="306647.53999999998"/>
    <n v="231754.31285799999"/>
    <n v="0"/>
    <n v="24.42"/>
    <n v="47"/>
    <n v="19"/>
    <n v="19"/>
    <n v="197"/>
    <n v="9.41"/>
    <n v="60000"/>
    <n v="456.34"/>
    <n v="0"/>
    <n v="27.94"/>
    <n v="2782"/>
    <n v="665000"/>
    <n v="665000"/>
    <n v="347546.87"/>
    <n v="750"/>
    <n v="439"/>
    <n v="750"/>
  </r>
  <r>
    <n v="26"/>
    <x v="4"/>
    <n v="1394"/>
    <s v="WENDERSON"/>
    <x v="1"/>
    <x v="0"/>
    <n v="52000"/>
    <n v="64"/>
    <n v="64"/>
    <n v="25688.73"/>
    <n v="19160.594338999999"/>
    <n v="0"/>
    <n v="25.41"/>
    <n v="20.94"/>
    <n v="511611.31"/>
    <n v="387941.85510500002"/>
    <n v="0"/>
    <n v="24.17"/>
    <n v="54"/>
    <n v="19"/>
    <n v="19"/>
    <n v="236"/>
    <n v="7.45"/>
    <n v="52000"/>
    <n v="21"/>
    <n v="0"/>
    <n v="24.8"/>
    <n v="2782"/>
    <n v="838000"/>
    <n v="838000"/>
    <n v="583373.18000000005"/>
    <n v="621"/>
    <n v="453"/>
    <n v="621"/>
  </r>
  <r>
    <n v="12"/>
    <x v="6"/>
    <n v="1402"/>
    <s v="CARLOS"/>
    <x v="1"/>
    <x v="0"/>
    <n v="52000"/>
    <n v="60"/>
    <n v="60"/>
    <n v="56263.56"/>
    <n v="42147.385290999999"/>
    <n v="0"/>
    <n v="25.09"/>
    <n v="34.28"/>
    <n v="306647.53999999998"/>
    <n v="231754.31285799999"/>
    <n v="0"/>
    <n v="24.42"/>
    <n v="44"/>
    <n v="19"/>
    <n v="19"/>
    <n v="266"/>
    <n v="6.4"/>
    <n v="52000"/>
    <n v="2119.6799999999998"/>
    <n v="3"/>
    <n v="27.94"/>
    <n v="2782"/>
    <n v="665000"/>
    <n v="665000"/>
    <n v="347546.87"/>
    <n v="750"/>
    <n v="439"/>
    <n v="750"/>
  </r>
  <r>
    <n v="5"/>
    <x v="5"/>
    <n v="1404"/>
    <s v="NICOLY"/>
    <x v="1"/>
    <x v="0"/>
    <n v="30000"/>
    <n v="30"/>
    <n v="30"/>
    <n v="7806.13"/>
    <n v="5686.9594989999996"/>
    <n v="0"/>
    <n v="27.15"/>
    <n v="16.38"/>
    <n v="256363.87"/>
    <n v="192405.98953799999"/>
    <n v="0"/>
    <n v="24.95"/>
    <n v="10"/>
    <n v="19"/>
    <n v="19"/>
    <n v="149"/>
    <n v="15.67"/>
    <n v="30000"/>
    <n v="0"/>
    <n v="1"/>
    <n v="21.71"/>
    <n v="2782"/>
    <n v="450000"/>
    <n v="450000"/>
    <n v="215464.54"/>
    <n v="200"/>
    <n v="116"/>
    <n v="200"/>
  </r>
  <r>
    <n v="14"/>
    <x v="9"/>
    <n v="1413"/>
    <s v="DANILO"/>
    <x v="1"/>
    <x v="0"/>
    <n v="15000"/>
    <n v="40"/>
    <n v="40"/>
    <n v="9722.77"/>
    <n v="7412.9736320000002"/>
    <n v="0"/>
    <n v="23.76"/>
    <n v="56.81"/>
    <n v="85558.63"/>
    <n v="59907.004891999997"/>
    <n v="0"/>
    <n v="29.98"/>
    <n v="2"/>
    <n v="19"/>
    <n v="19"/>
    <n v="8"/>
    <n v="2"/>
    <n v="15000"/>
    <n v="0"/>
    <n v="0"/>
    <n v="42.49"/>
    <n v="2782"/>
    <n v="60000"/>
    <n v="60000"/>
    <n v="55202.86"/>
    <n v="80"/>
    <n v="29"/>
    <n v="80"/>
  </r>
  <r>
    <n v="20"/>
    <x v="7"/>
    <n v="1420"/>
    <s v="HERALDO"/>
    <x v="1"/>
    <x v="0"/>
    <n v="0"/>
    <n v="0"/>
    <n v="0"/>
    <n v="269.01"/>
    <n v="211.50659099999999"/>
    <n v="0"/>
    <n v="21.38"/>
    <n v="1"/>
    <n v="403253.01"/>
    <n v="299537.48450800002"/>
    <n v="0"/>
    <n v="25.72"/>
    <n v="1"/>
    <n v="19"/>
    <n v="19"/>
    <n v="6"/>
    <n v="6"/>
    <n v="0"/>
    <n v="1898.78"/>
    <n v="0"/>
    <n v="37.15"/>
    <n v="2782"/>
    <n v="331000"/>
    <n v="331000"/>
    <n v="124844.86"/>
    <n v="285"/>
    <n v="87"/>
    <n v="285"/>
  </r>
  <r>
    <n v="17"/>
    <x v="8"/>
    <n v="1431"/>
    <s v="MARCIO"/>
    <x v="1"/>
    <x v="0"/>
    <n v="151000"/>
    <n v="100"/>
    <n v="100"/>
    <n v="26371.29"/>
    <n v="19027.174878000002"/>
    <n v="0"/>
    <n v="27.85"/>
    <n v="28.31"/>
    <n v="296737.34000000003"/>
    <n v="207292.61917799999"/>
    <n v="0"/>
    <n v="30.14"/>
    <n v="11"/>
    <n v="19"/>
    <n v="19"/>
    <n v="204"/>
    <n v="17.13"/>
    <n v="151000"/>
    <n v="0"/>
    <n v="0"/>
    <n v="23.4"/>
    <n v="2782"/>
    <n v="621000"/>
    <n v="621000"/>
    <n v="306617.2"/>
    <n v="340"/>
    <n v="138"/>
    <n v="340"/>
  </r>
  <r>
    <n v="17"/>
    <x v="8"/>
    <n v="1437"/>
    <s v="CHRYSTIAN"/>
    <x v="1"/>
    <x v="0"/>
    <n v="95000"/>
    <n v="54"/>
    <n v="54"/>
    <n v="41933.68"/>
    <n v="29963.330179"/>
    <n v="0"/>
    <n v="28.55"/>
    <n v="28.69"/>
    <n v="296737.34000000003"/>
    <n v="207292.61917799999"/>
    <n v="0"/>
    <n v="30.14"/>
    <n v="19"/>
    <n v="19"/>
    <n v="19"/>
    <n v="245"/>
    <n v="16.329999999999998"/>
    <n v="95000"/>
    <n v="0"/>
    <n v="0"/>
    <n v="23.4"/>
    <n v="2782"/>
    <n v="621000"/>
    <n v="621000"/>
    <n v="306617.2"/>
    <n v="340"/>
    <n v="138"/>
    <n v="340"/>
  </r>
  <r>
    <n v="10"/>
    <x v="1"/>
    <n v="1450"/>
    <s v="INGRID"/>
    <x v="1"/>
    <x v="0"/>
    <n v="75000"/>
    <n v="65"/>
    <n v="65"/>
    <n v="80857.95"/>
    <n v="60572.388153"/>
    <n v="0"/>
    <n v="25.09"/>
    <n v="21.67"/>
    <n v="612464.30000000005"/>
    <n v="455858.53905299999"/>
    <n v="0"/>
    <n v="25.57"/>
    <n v="70"/>
    <n v="19"/>
    <n v="19"/>
    <n v="516"/>
    <n v="18.600000000000001"/>
    <n v="75000"/>
    <n v="528.65"/>
    <n v="2"/>
    <n v="21.15"/>
    <n v="2782"/>
    <n v="720000"/>
    <n v="720000"/>
    <n v="415422.74"/>
    <n v="525"/>
    <n v="429"/>
    <n v="525"/>
  </r>
  <r>
    <n v="2"/>
    <x v="0"/>
    <n v="1457"/>
    <s v="JOSE"/>
    <x v="1"/>
    <x v="0"/>
    <n v="90000"/>
    <n v="69"/>
    <n v="69"/>
    <n v="59423.26"/>
    <n v="43449.086232000001"/>
    <n v="0"/>
    <n v="26.88"/>
    <n v="26.31"/>
    <n v="908207.64"/>
    <n v="677234.64758200001"/>
    <n v="0"/>
    <n v="25.43"/>
    <n v="52"/>
    <n v="19"/>
    <n v="19"/>
    <n v="343"/>
    <n v="13.44"/>
    <n v="90000"/>
    <n v="0"/>
    <n v="0"/>
    <n v="21.72"/>
    <n v="2782"/>
    <n v="1331000"/>
    <n v="1331000"/>
    <n v="1018464.25"/>
    <n v="845"/>
    <n v="634"/>
    <n v="845"/>
  </r>
  <r>
    <n v="6"/>
    <x v="3"/>
    <n v="1466"/>
    <s v="ARTHUR"/>
    <x v="1"/>
    <x v="0"/>
    <n v="95000"/>
    <n v="78"/>
    <n v="78"/>
    <n v="60784.61"/>
    <n v="45723.387492000002"/>
    <n v="0"/>
    <n v="24.78"/>
    <n v="21.3"/>
    <n v="353500.19"/>
    <n v="263150.449012"/>
    <n v="0"/>
    <n v="25.56"/>
    <n v="51"/>
    <n v="19"/>
    <n v="19"/>
    <n v="424"/>
    <n v="12.74"/>
    <n v="95000"/>
    <n v="1880.61"/>
    <n v="1"/>
    <n v="18.46"/>
    <n v="2782"/>
    <n v="1054000"/>
    <n v="1054000"/>
    <n v="562468.07999999996"/>
    <n v="923"/>
    <n v="588"/>
    <n v="923"/>
  </r>
  <r>
    <n v="4"/>
    <x v="2"/>
    <n v="1473"/>
    <s v="EDER"/>
    <x v="1"/>
    <x v="0"/>
    <n v="120000"/>
    <n v="80"/>
    <n v="80"/>
    <n v="110053.43"/>
    <n v="80839.655329000001"/>
    <n v="0"/>
    <n v="26.55"/>
    <n v="24.51"/>
    <n v="513639.38"/>
    <n v="369001.02627799998"/>
    <n v="0"/>
    <n v="28.16"/>
    <n v="58"/>
    <n v="19"/>
    <n v="19"/>
    <n v="580"/>
    <n v="14.81"/>
    <n v="120000"/>
    <n v="1612.02"/>
    <n v="4"/>
    <n v="23.12"/>
    <n v="2782"/>
    <n v="760000"/>
    <n v="760000"/>
    <n v="534115.29"/>
    <n v="483"/>
    <n v="353"/>
    <n v="483"/>
  </r>
  <r>
    <n v="17"/>
    <x v="8"/>
    <n v="1475"/>
    <s v="CARLOS"/>
    <x v="1"/>
    <x v="0"/>
    <n v="95000"/>
    <n v="54"/>
    <n v="54"/>
    <n v="71747.66"/>
    <n v="50039.583640999997"/>
    <n v="0"/>
    <n v="30.26"/>
    <n v="21.1"/>
    <n v="296737.34000000003"/>
    <n v="207292.61917799999"/>
    <n v="0"/>
    <n v="30.14"/>
    <n v="32"/>
    <n v="19"/>
    <n v="19"/>
    <n v="340"/>
    <n v="16"/>
    <n v="95000"/>
    <n v="0"/>
    <n v="0"/>
    <n v="23.4"/>
    <n v="2782"/>
    <n v="621000"/>
    <n v="621000"/>
    <n v="306617.2"/>
    <n v="340"/>
    <n v="138"/>
    <n v="340"/>
  </r>
  <r>
    <n v="10"/>
    <x v="1"/>
    <n v="1486"/>
    <s v="DHIEGO"/>
    <x v="1"/>
    <x v="0"/>
    <n v="45000"/>
    <n v="25"/>
    <n v="25"/>
    <n v="42471.58"/>
    <n v="31833.966487000002"/>
    <n v="0"/>
    <n v="25.05"/>
    <n v="24.53"/>
    <n v="612464.30000000005"/>
    <n v="455858.53905299999"/>
    <n v="0"/>
    <n v="25.57"/>
    <n v="27"/>
    <n v="19"/>
    <n v="19"/>
    <n v="285"/>
    <n v="12.33"/>
    <n v="45000"/>
    <n v="824.27"/>
    <n v="1"/>
    <n v="21.15"/>
    <n v="2782"/>
    <n v="720000"/>
    <n v="720000"/>
    <n v="415422.74"/>
    <n v="525"/>
    <n v="429"/>
    <n v="525"/>
  </r>
  <r>
    <n v="20"/>
    <x v="7"/>
    <n v="1493"/>
    <s v="FABIO"/>
    <x v="1"/>
    <x v="0"/>
    <n v="45000"/>
    <n v="40"/>
    <n v="40"/>
    <n v="18262.259999999998"/>
    <n v="14120.615551000001"/>
    <n v="0"/>
    <n v="22.68"/>
    <n v="23.26"/>
    <n v="403253.01"/>
    <n v="299537.48450800002"/>
    <n v="0"/>
    <n v="25.72"/>
    <n v="14"/>
    <n v="19"/>
    <n v="19"/>
    <n v="93"/>
    <n v="7.12"/>
    <n v="45000"/>
    <n v="0"/>
    <n v="0"/>
    <n v="37.15"/>
    <n v="2782"/>
    <n v="331000"/>
    <n v="331000"/>
    <n v="124844.86"/>
    <n v="285"/>
    <n v="87"/>
    <n v="285"/>
  </r>
  <r>
    <n v="17"/>
    <x v="8"/>
    <n v="1497"/>
    <s v="ACSA"/>
    <x v="1"/>
    <x v="0"/>
    <n v="85000"/>
    <n v="36"/>
    <n v="36"/>
    <n v="50454.75"/>
    <n v="35360.368962"/>
    <n v="0"/>
    <n v="29.92"/>
    <n v="19.86"/>
    <n v="296737.34000000003"/>
    <n v="207292.61917799999"/>
    <n v="0"/>
    <n v="30.14"/>
    <n v="17"/>
    <n v="19"/>
    <n v="19"/>
    <n v="431"/>
    <n v="27.22"/>
    <n v="85000"/>
    <n v="624.25"/>
    <n v="0"/>
    <n v="23.4"/>
    <n v="2782"/>
    <n v="621000"/>
    <n v="621000"/>
    <n v="306617.2"/>
    <n v="340"/>
    <n v="138"/>
    <n v="340"/>
  </r>
  <r>
    <n v="10"/>
    <x v="1"/>
    <n v="1500"/>
    <s v="DANIELE"/>
    <x v="1"/>
    <x v="0"/>
    <n v="120000"/>
    <n v="65"/>
    <n v="65"/>
    <n v="31929.360000000001"/>
    <n v="23232.425191999999"/>
    <n v="0"/>
    <n v="27.24"/>
    <n v="33.22"/>
    <n v="612464.30000000005"/>
    <n v="455858.53905299999"/>
    <n v="0"/>
    <n v="25.57"/>
    <n v="30"/>
    <n v="19"/>
    <n v="19"/>
    <n v="162"/>
    <n v="9.94"/>
    <n v="120000"/>
    <n v="0"/>
    <n v="0"/>
    <n v="21.15"/>
    <n v="2782"/>
    <n v="720000"/>
    <n v="720000"/>
    <n v="415422.74"/>
    <n v="525"/>
    <n v="429"/>
    <n v="525"/>
  </r>
  <r>
    <n v="2"/>
    <x v="0"/>
    <n v="1505"/>
    <s v="BRUNA"/>
    <x v="1"/>
    <x v="0"/>
    <n v="80000"/>
    <n v="50"/>
    <n v="50"/>
    <n v="70306.25"/>
    <n v="51755.878188000002"/>
    <n v="0"/>
    <n v="26.39"/>
    <n v="19.350000000000001"/>
    <n v="908207.64"/>
    <n v="677234.64758200001"/>
    <n v="0"/>
    <n v="25.43"/>
    <n v="49"/>
    <n v="19"/>
    <n v="19"/>
    <n v="441"/>
    <n v="15.48"/>
    <n v="80000"/>
    <n v="34.08"/>
    <n v="1"/>
    <n v="21.72"/>
    <n v="2782"/>
    <n v="1331000"/>
    <n v="1331000"/>
    <n v="1018464.25"/>
    <n v="845"/>
    <n v="634"/>
    <n v="845"/>
  </r>
  <r>
    <n v="4"/>
    <x v="2"/>
    <n v="1510"/>
    <s v="MAICON"/>
    <x v="1"/>
    <x v="0"/>
    <n v="25000"/>
    <n v="20"/>
    <n v="20"/>
    <n v="3500.12"/>
    <n v="2349.6684260000002"/>
    <n v="0"/>
    <n v="32.869999999999997"/>
    <n v="28.14"/>
    <n v="513639.38"/>
    <n v="369001.02627799998"/>
    <n v="0"/>
    <n v="28.16"/>
    <n v="4"/>
    <n v="19"/>
    <n v="19"/>
    <n v="28"/>
    <n v="7.75"/>
    <n v="25000"/>
    <n v="0"/>
    <n v="0"/>
    <n v="23.12"/>
    <n v="2782"/>
    <n v="760000"/>
    <n v="760000"/>
    <n v="534115.29"/>
    <n v="483"/>
    <n v="353"/>
    <n v="483"/>
  </r>
  <r>
    <n v="6"/>
    <x v="3"/>
    <n v="1512"/>
    <s v="JAIME"/>
    <x v="1"/>
    <x v="0"/>
    <n v="69000"/>
    <n v="69"/>
    <n v="69"/>
    <n v="6791.52"/>
    <n v="4920.1727469999996"/>
    <n v="0"/>
    <n v="27.55"/>
    <n v="15.31"/>
    <n v="353500.19"/>
    <n v="263150.449012"/>
    <n v="0"/>
    <n v="25.56"/>
    <n v="13"/>
    <n v="19"/>
    <n v="19"/>
    <n v="106"/>
    <n v="9.43"/>
    <n v="69000"/>
    <n v="6.98"/>
    <n v="0"/>
    <n v="18.46"/>
    <n v="2782"/>
    <n v="1054000"/>
    <n v="1054000"/>
    <n v="562468.07999999996"/>
    <n v="923"/>
    <n v="588"/>
    <n v="923"/>
  </r>
  <r>
    <n v="4"/>
    <x v="2"/>
    <n v="1522"/>
    <s v="MARCIA"/>
    <x v="1"/>
    <x v="0"/>
    <n v="50000"/>
    <n v="1"/>
    <n v="1"/>
    <n v="29650.52"/>
    <n v="21080.819094999999"/>
    <n v="0"/>
    <n v="28.9"/>
    <n v="27.24"/>
    <n v="513639.38"/>
    <n v="369001.02627799998"/>
    <n v="0"/>
    <n v="28.16"/>
    <n v="1"/>
    <n v="19"/>
    <n v="19"/>
    <n v="64"/>
    <n v="22.33"/>
    <n v="50000"/>
    <n v="0"/>
    <n v="0"/>
    <n v="23.12"/>
    <n v="2782"/>
    <n v="760000"/>
    <n v="760000"/>
    <n v="534115.29"/>
    <n v="483"/>
    <n v="353"/>
    <n v="483"/>
  </r>
  <r>
    <n v="26"/>
    <x v="4"/>
    <n v="1527"/>
    <s v="JOSE"/>
    <x v="1"/>
    <x v="0"/>
    <n v="46000"/>
    <n v="40"/>
    <n v="40"/>
    <n v="45006.33"/>
    <n v="32965.224108000002"/>
    <n v="0"/>
    <n v="26.75"/>
    <n v="28.6"/>
    <n v="511611.31"/>
    <n v="387941.85510500002"/>
    <n v="0"/>
    <n v="24.17"/>
    <n v="26"/>
    <n v="19"/>
    <n v="19"/>
    <n v="168"/>
    <n v="6.1"/>
    <n v="46000"/>
    <n v="5730.06"/>
    <n v="4"/>
    <n v="24.8"/>
    <n v="2782"/>
    <n v="838000"/>
    <n v="838000"/>
    <n v="583373.18000000005"/>
    <n v="621"/>
    <n v="453"/>
    <n v="621"/>
  </r>
  <r>
    <n v="26"/>
    <x v="4"/>
    <n v="1535"/>
    <s v="ALAN"/>
    <x v="1"/>
    <x v="0"/>
    <n v="46000"/>
    <n v="40"/>
    <n v="40"/>
    <n v="18819.29"/>
    <n v="13663.637906"/>
    <n v="0"/>
    <n v="27.4"/>
    <n v="31.77"/>
    <n v="511611.31"/>
    <n v="387941.85510500002"/>
    <n v="0"/>
    <n v="24.17"/>
    <n v="20"/>
    <n v="19"/>
    <n v="19"/>
    <n v="127"/>
    <n v="6.61"/>
    <n v="46000"/>
    <n v="4.53"/>
    <n v="1"/>
    <n v="24.8"/>
    <n v="2782"/>
    <n v="838000"/>
    <n v="838000"/>
    <n v="583373.18000000005"/>
    <n v="621"/>
    <n v="453"/>
    <n v="621"/>
  </r>
  <r>
    <n v="20"/>
    <x v="7"/>
    <n v="1537"/>
    <s v="JOSE"/>
    <x v="1"/>
    <x v="0"/>
    <n v="46000"/>
    <n v="40"/>
    <n v="40"/>
    <n v="12201"/>
    <n v="9090.160699"/>
    <n v="0"/>
    <n v="25.5"/>
    <n v="30.96"/>
    <n v="403253.01"/>
    <n v="299537.48450800002"/>
    <n v="0"/>
    <n v="25.72"/>
    <n v="13"/>
    <n v="19"/>
    <n v="19"/>
    <n v="73"/>
    <n v="6.43"/>
    <n v="46000"/>
    <n v="28.15"/>
    <n v="0"/>
    <n v="37.15"/>
    <n v="2782"/>
    <n v="331000"/>
    <n v="331000"/>
    <n v="124844.86"/>
    <n v="285"/>
    <n v="87"/>
    <n v="285"/>
  </r>
  <r>
    <n v="2"/>
    <x v="0"/>
    <n v="1553"/>
    <s v="JORGE"/>
    <x v="1"/>
    <x v="0"/>
    <n v="46000"/>
    <n v="40"/>
    <n v="40"/>
    <n v="62903.98"/>
    <n v="46226.187784000002"/>
    <n v="0"/>
    <n v="26.51"/>
    <n v="56.06"/>
    <n v="908207.64"/>
    <n v="677234.64758200001"/>
    <n v="0"/>
    <n v="25.43"/>
    <n v="18"/>
    <n v="19"/>
    <n v="19"/>
    <n v="89"/>
    <n v="6.17"/>
    <n v="46000"/>
    <n v="101.7"/>
    <n v="0"/>
    <n v="21.72"/>
    <n v="2782"/>
    <n v="1331000"/>
    <n v="1331000"/>
    <n v="1018464.25"/>
    <n v="845"/>
    <n v="634"/>
    <n v="845"/>
  </r>
  <r>
    <n v="4"/>
    <x v="2"/>
    <n v="1557"/>
    <s v="ALEXSANDRA"/>
    <x v="1"/>
    <x v="0"/>
    <n v="115000"/>
    <n v="78"/>
    <n v="78"/>
    <n v="85825.3"/>
    <n v="61980.076016999999"/>
    <n v="0"/>
    <n v="27.78"/>
    <n v="22.67"/>
    <n v="513639.38"/>
    <n v="369001.02627799998"/>
    <n v="0"/>
    <n v="28.16"/>
    <n v="69"/>
    <n v="19"/>
    <n v="19"/>
    <n v="424"/>
    <n v="11.67"/>
    <n v="115000"/>
    <n v="918.1"/>
    <n v="1"/>
    <n v="23.12"/>
    <n v="2782"/>
    <n v="760000"/>
    <n v="760000"/>
    <n v="534115.29"/>
    <n v="483"/>
    <n v="353"/>
    <n v="483"/>
  </r>
  <r>
    <n v="4"/>
    <x v="2"/>
    <n v="1558"/>
    <s v="JEFFERSON"/>
    <x v="1"/>
    <x v="0"/>
    <n v="80000"/>
    <n v="60"/>
    <n v="60"/>
    <n v="50057.37"/>
    <n v="35702.053181000003"/>
    <n v="0"/>
    <n v="28.68"/>
    <n v="22.56"/>
    <n v="513639.38"/>
    <n v="369001.02627799998"/>
    <n v="0"/>
    <n v="28.16"/>
    <n v="51"/>
    <n v="19"/>
    <n v="19"/>
    <n v="275"/>
    <n v="9.5500000000000007"/>
    <n v="80000"/>
    <n v="0"/>
    <n v="1"/>
    <n v="23.12"/>
    <n v="2782"/>
    <n v="760000"/>
    <n v="760000"/>
    <n v="534115.29"/>
    <n v="483"/>
    <n v="353"/>
    <n v="483"/>
  </r>
  <r>
    <n v="4"/>
    <x v="2"/>
    <n v="1559"/>
    <s v="LUAN"/>
    <x v="1"/>
    <x v="0"/>
    <n v="60000"/>
    <n v="40"/>
    <n v="40"/>
    <n v="26639.02"/>
    <n v="19143.513266000002"/>
    <n v="0"/>
    <n v="28.14"/>
    <n v="15.87"/>
    <n v="513639.38"/>
    <n v="369001.02627799998"/>
    <n v="0"/>
    <n v="28.16"/>
    <n v="28"/>
    <n v="19"/>
    <n v="19"/>
    <n v="362"/>
    <n v="11.41"/>
    <n v="60000"/>
    <n v="0"/>
    <n v="0"/>
    <n v="23.12"/>
    <n v="2782"/>
    <n v="760000"/>
    <n v="760000"/>
    <n v="534115.29"/>
    <n v="483"/>
    <n v="353"/>
    <n v="483"/>
  </r>
  <r>
    <n v="2"/>
    <x v="0"/>
    <n v="1561"/>
    <s v="NAZARENO"/>
    <x v="1"/>
    <x v="0"/>
    <n v="85000"/>
    <n v="55"/>
    <n v="55"/>
    <n v="47352.63"/>
    <n v="35661.480020000003"/>
    <n v="0"/>
    <n v="24.69"/>
    <n v="20.41"/>
    <n v="908207.64"/>
    <n v="677234.64758200001"/>
    <n v="0"/>
    <n v="25.43"/>
    <n v="20"/>
    <n v="19"/>
    <n v="19"/>
    <n v="469"/>
    <n v="13.91"/>
    <n v="85000"/>
    <n v="3896.31"/>
    <n v="0"/>
    <n v="21.72"/>
    <n v="2782"/>
    <n v="1331000"/>
    <n v="1331000"/>
    <n v="1018464.25"/>
    <n v="845"/>
    <n v="634"/>
    <n v="845"/>
  </r>
  <r>
    <n v="14"/>
    <x v="9"/>
    <n v="1574"/>
    <s v="BRUNO"/>
    <x v="1"/>
    <x v="0"/>
    <n v="45000"/>
    <n v="40"/>
    <n v="40"/>
    <n v="45480.09"/>
    <n v="31671.842509999999"/>
    <n v="0"/>
    <n v="30.36"/>
    <n v="42.71"/>
    <n v="85558.63"/>
    <n v="59907.004891999997"/>
    <n v="0"/>
    <n v="29.98"/>
    <n v="27"/>
    <n v="19"/>
    <n v="19"/>
    <n v="189"/>
    <n v="9.2200000000000006"/>
    <n v="45000"/>
    <n v="0"/>
    <n v="0"/>
    <n v="42.49"/>
    <n v="2782"/>
    <n v="60000"/>
    <n v="60000"/>
    <n v="55202.86"/>
    <n v="80"/>
    <n v="29"/>
    <n v="80"/>
  </r>
  <r>
    <n v="12"/>
    <x v="6"/>
    <n v="1577"/>
    <s v="RICARDO"/>
    <x v="1"/>
    <x v="0"/>
    <n v="51000"/>
    <n v="60"/>
    <n v="60"/>
    <n v="12158.93"/>
    <n v="9314.6939619999994"/>
    <n v="0"/>
    <n v="23.39"/>
    <n v="13.33"/>
    <n v="306647.53999999998"/>
    <n v="231754.31285799999"/>
    <n v="0"/>
    <n v="24.42"/>
    <n v="33"/>
    <n v="19"/>
    <n v="19"/>
    <n v="134"/>
    <n v="6.74"/>
    <n v="51000"/>
    <n v="159.43"/>
    <n v="1"/>
    <n v="27.94"/>
    <n v="2782"/>
    <n v="665000"/>
    <n v="665000"/>
    <n v="347546.87"/>
    <n v="750"/>
    <n v="439"/>
    <n v="750"/>
  </r>
  <r>
    <n v="2"/>
    <x v="0"/>
    <n v="1580"/>
    <s v="BRENDA"/>
    <x v="1"/>
    <x v="0"/>
    <n v="65000"/>
    <n v="50"/>
    <n v="50"/>
    <n v="12773.9"/>
    <n v="9356.7760940000007"/>
    <n v="0"/>
    <n v="26.75"/>
    <n v="23.98"/>
    <n v="908207.64"/>
    <n v="677234.64758200001"/>
    <n v="0"/>
    <n v="25.43"/>
    <n v="13"/>
    <n v="19"/>
    <n v="19"/>
    <n v="155"/>
    <n v="14"/>
    <n v="65000"/>
    <n v="522.17999999999995"/>
    <n v="0"/>
    <n v="21.72"/>
    <n v="2782"/>
    <n v="1331000"/>
    <n v="1331000"/>
    <n v="1018464.25"/>
    <n v="845"/>
    <n v="634"/>
    <n v="845"/>
  </r>
  <r>
    <n v="12"/>
    <x v="6"/>
    <n v="1582"/>
    <s v="KEYLLA"/>
    <x v="1"/>
    <x v="0"/>
    <n v="51000"/>
    <n v="60"/>
    <n v="60"/>
    <n v="31640.33"/>
    <n v="23864.533269"/>
    <n v="0"/>
    <n v="24.58"/>
    <n v="18.989999999999998"/>
    <n v="306647.53999999998"/>
    <n v="231754.31285799999"/>
    <n v="0"/>
    <n v="24.42"/>
    <n v="36"/>
    <n v="19"/>
    <n v="19"/>
    <n v="148"/>
    <n v="8.6199999999999992"/>
    <n v="51000"/>
    <n v="163.62"/>
    <n v="1"/>
    <n v="27.94"/>
    <n v="2782"/>
    <n v="665000"/>
    <n v="665000"/>
    <n v="347546.87"/>
    <n v="750"/>
    <n v="439"/>
    <n v="750"/>
  </r>
  <r>
    <n v="4"/>
    <x v="2"/>
    <n v="1583"/>
    <s v="RAUL"/>
    <x v="1"/>
    <x v="0"/>
    <n v="45000"/>
    <n v="40"/>
    <n v="40"/>
    <n v="16975.79"/>
    <n v="11922.676151"/>
    <n v="0"/>
    <n v="29.77"/>
    <n v="34.020000000000003"/>
    <n v="513639.38"/>
    <n v="369001.02627799998"/>
    <n v="0"/>
    <n v="28.16"/>
    <n v="21"/>
    <n v="19"/>
    <n v="19"/>
    <n v="126"/>
    <n v="6"/>
    <n v="45000"/>
    <n v="683.75"/>
    <n v="3"/>
    <n v="23.12"/>
    <n v="2782"/>
    <n v="760000"/>
    <n v="760000"/>
    <n v="534115.29"/>
    <n v="483"/>
    <n v="353"/>
    <n v="483"/>
  </r>
  <r>
    <n v="6"/>
    <x v="3"/>
    <n v="1585"/>
    <s v="FABIO"/>
    <x v="1"/>
    <x v="0"/>
    <n v="50000"/>
    <n v="45"/>
    <n v="45"/>
    <n v="19919.66"/>
    <n v="14496.973371"/>
    <n v="0"/>
    <n v="27.22"/>
    <n v="17.18"/>
    <n v="353500.19"/>
    <n v="263150.449012"/>
    <n v="0"/>
    <n v="25.56"/>
    <n v="29"/>
    <n v="19"/>
    <n v="19"/>
    <n v="216"/>
    <n v="9.0299999999999994"/>
    <n v="50000"/>
    <n v="411.83"/>
    <n v="1"/>
    <n v="18.46"/>
    <n v="2782"/>
    <n v="1054000"/>
    <n v="1054000"/>
    <n v="562468.07999999996"/>
    <n v="923"/>
    <n v="588"/>
    <n v="923"/>
  </r>
  <r>
    <n v="12"/>
    <x v="6"/>
    <n v="1586"/>
    <s v="JORGE"/>
    <x v="1"/>
    <x v="0"/>
    <n v="51000"/>
    <n v="60"/>
    <n v="60"/>
    <n v="41010.230000000003"/>
    <n v="30856.261254000001"/>
    <n v="0"/>
    <n v="24.76"/>
    <n v="13.96"/>
    <n v="306647.53999999998"/>
    <n v="231754.31285799999"/>
    <n v="0"/>
    <n v="24.42"/>
    <n v="47"/>
    <n v="19"/>
    <n v="19"/>
    <n v="212"/>
    <n v="9.43"/>
    <n v="51000"/>
    <n v="1089.3800000000001"/>
    <n v="0"/>
    <n v="27.94"/>
    <n v="2782"/>
    <n v="665000"/>
    <n v="665000"/>
    <n v="347546.87"/>
    <n v="750"/>
    <n v="439"/>
    <n v="750"/>
  </r>
  <r>
    <n v="6"/>
    <x v="3"/>
    <n v="1587"/>
    <s v="KELLY"/>
    <x v="1"/>
    <x v="0"/>
    <n v="50000"/>
    <n v="50"/>
    <n v="50"/>
    <n v="18250.919999999998"/>
    <n v="13725.371149000001"/>
    <n v="0"/>
    <n v="24.8"/>
    <n v="16.329999999999998"/>
    <n v="353500.19"/>
    <n v="263150.449012"/>
    <n v="0"/>
    <n v="25.56"/>
    <n v="36"/>
    <n v="19"/>
    <n v="19"/>
    <n v="193"/>
    <n v="7.62"/>
    <n v="50000"/>
    <n v="0"/>
    <n v="0"/>
    <n v="18.46"/>
    <n v="2782"/>
    <n v="1054000"/>
    <n v="1054000"/>
    <n v="562468.07999999996"/>
    <n v="923"/>
    <n v="588"/>
    <n v="923"/>
  </r>
  <r>
    <n v="10"/>
    <x v="1"/>
    <n v="1589"/>
    <s v="VITOR"/>
    <x v="1"/>
    <x v="0"/>
    <n v="45000"/>
    <n v="40"/>
    <n v="40"/>
    <n v="11375.93"/>
    <n v="8102.9844290000001"/>
    <n v="0"/>
    <n v="28.77"/>
    <n v="34.99"/>
    <n v="612464.30000000005"/>
    <n v="455858.53905299999"/>
    <n v="0"/>
    <n v="25.57"/>
    <n v="17"/>
    <n v="19"/>
    <n v="19"/>
    <n v="142"/>
    <n v="9.5"/>
    <n v="45000"/>
    <n v="377.72"/>
    <n v="0"/>
    <n v="21.15"/>
    <n v="2782"/>
    <n v="720000"/>
    <n v="720000"/>
    <n v="415422.74"/>
    <n v="525"/>
    <n v="429"/>
    <n v="525"/>
  </r>
  <r>
    <n v="20"/>
    <x v="7"/>
    <n v="1590"/>
    <s v="CARLOS"/>
    <x v="1"/>
    <x v="0"/>
    <n v="45000"/>
    <n v="40"/>
    <n v="40"/>
    <n v="22752.65"/>
    <n v="16569.534725000001"/>
    <n v="0"/>
    <n v="27.18"/>
    <n v="43.88"/>
    <n v="403253.01"/>
    <n v="299537.48450800002"/>
    <n v="0"/>
    <n v="25.72"/>
    <n v="13"/>
    <n v="19"/>
    <n v="19"/>
    <n v="96"/>
    <n v="6.65"/>
    <n v="45000"/>
    <n v="242.1"/>
    <n v="5"/>
    <n v="37.15"/>
    <n v="2782"/>
    <n v="331000"/>
    <n v="331000"/>
    <n v="124844.86"/>
    <n v="285"/>
    <n v="87"/>
    <n v="285"/>
  </r>
  <r>
    <n v="10"/>
    <x v="1"/>
    <n v="1591"/>
    <s v="ELRIK"/>
    <x v="1"/>
    <x v="0"/>
    <n v="65000"/>
    <n v="50"/>
    <n v="50"/>
    <n v="40721.620000000003"/>
    <n v="30242.711144000001"/>
    <n v="0"/>
    <n v="25.73"/>
    <n v="18.59"/>
    <n v="612464.30000000005"/>
    <n v="455858.53905299999"/>
    <n v="0"/>
    <n v="25.57"/>
    <n v="57"/>
    <n v="19"/>
    <n v="19"/>
    <n v="316"/>
    <n v="10.84"/>
    <n v="65000"/>
    <n v="257.20999999999998"/>
    <n v="2"/>
    <n v="21.15"/>
    <n v="2782"/>
    <n v="720000"/>
    <n v="720000"/>
    <n v="415422.74"/>
    <n v="525"/>
    <n v="429"/>
    <n v="525"/>
  </r>
  <r>
    <n v="5"/>
    <x v="5"/>
    <n v="1593"/>
    <s v="DAIZA"/>
    <x v="1"/>
    <x v="0"/>
    <n v="120000"/>
    <n v="50"/>
    <n v="50"/>
    <n v="37797.480000000003"/>
    <n v="27395.012382000001"/>
    <n v="0"/>
    <n v="27.52"/>
    <n v="34.18"/>
    <n v="256363.87"/>
    <n v="192405.98953799999"/>
    <n v="0"/>
    <n v="24.95"/>
    <n v="33"/>
    <n v="19"/>
    <n v="19"/>
    <n v="231"/>
    <n v="9.9"/>
    <n v="120000"/>
    <n v="0"/>
    <n v="0"/>
    <n v="21.71"/>
    <n v="2782"/>
    <n v="450000"/>
    <n v="450000"/>
    <n v="215464.54"/>
    <n v="200"/>
    <n v="116"/>
    <n v="200"/>
  </r>
  <r>
    <n v="12"/>
    <x v="6"/>
    <n v="1594"/>
    <s v="EDILENE"/>
    <x v="1"/>
    <x v="0"/>
    <n v="50000"/>
    <n v="60"/>
    <n v="60"/>
    <n v="25245.13"/>
    <n v="18623.625614"/>
    <n v="0"/>
    <n v="26.23"/>
    <n v="15.06"/>
    <n v="306647.53999999998"/>
    <n v="231754.31285799999"/>
    <n v="0"/>
    <n v="24.42"/>
    <n v="31"/>
    <n v="19"/>
    <n v="19"/>
    <n v="232"/>
    <n v="9.5299999999999994"/>
    <n v="50000"/>
    <n v="880.84"/>
    <n v="3"/>
    <n v="27.94"/>
    <n v="2782"/>
    <n v="665000"/>
    <n v="665000"/>
    <n v="347546.87"/>
    <n v="750"/>
    <n v="439"/>
    <n v="750"/>
  </r>
  <r>
    <n v="17"/>
    <x v="8"/>
    <n v="1596"/>
    <s v="HEDERSON"/>
    <x v="1"/>
    <x v="0"/>
    <n v="25000"/>
    <n v="20"/>
    <n v="20"/>
    <n v="4434.0600000000004"/>
    <n v="2973.2401089999998"/>
    <n v="0"/>
    <n v="32.950000000000003"/>
    <n v="36.229999999999997"/>
    <n v="296737.34000000003"/>
    <n v="207292.61917799999"/>
    <n v="0"/>
    <n v="30.14"/>
    <n v="6"/>
    <n v="19"/>
    <n v="19"/>
    <n v="39"/>
    <n v="7"/>
    <n v="25000"/>
    <n v="0"/>
    <n v="1"/>
    <n v="23.4"/>
    <n v="2782"/>
    <n v="621000"/>
    <n v="621000"/>
    <n v="306617.2"/>
    <n v="340"/>
    <n v="138"/>
    <n v="340"/>
  </r>
  <r>
    <n v="20"/>
    <x v="7"/>
    <n v="1597"/>
    <s v="ROSINELIO"/>
    <x v="1"/>
    <x v="0"/>
    <n v="30000"/>
    <n v="20"/>
    <n v="20"/>
    <n v="34279.15"/>
    <n v="25304.332332999998"/>
    <n v="0"/>
    <n v="26.18"/>
    <n v="40.340000000000003"/>
    <n v="403253.01"/>
    <n v="299537.48450800002"/>
    <n v="0"/>
    <n v="25.72"/>
    <n v="24"/>
    <n v="19"/>
    <n v="19"/>
    <n v="146"/>
    <n v="8.17"/>
    <n v="30000"/>
    <n v="0"/>
    <n v="4"/>
    <n v="37.15"/>
    <n v="2782"/>
    <n v="331000"/>
    <n v="331000"/>
    <n v="124844.86"/>
    <n v="285"/>
    <n v="87"/>
    <n v="285"/>
  </r>
  <r>
    <n v="2"/>
    <x v="0"/>
    <n v="1598"/>
    <s v="THIAGO"/>
    <x v="1"/>
    <x v="0"/>
    <n v="45000"/>
    <n v="32"/>
    <n v="32"/>
    <n v="12672.97"/>
    <n v="9272.2189400000007"/>
    <n v="0"/>
    <n v="26.83"/>
    <n v="14.22"/>
    <n v="908207.64"/>
    <n v="677234.64758200001"/>
    <n v="0"/>
    <n v="25.43"/>
    <n v="32"/>
    <n v="19"/>
    <n v="19"/>
    <n v="163"/>
    <n v="8.42"/>
    <n v="45000"/>
    <n v="0"/>
    <n v="0"/>
    <n v="21.72"/>
    <n v="2782"/>
    <n v="1331000"/>
    <n v="1331000"/>
    <n v="1018464.25"/>
    <n v="845"/>
    <n v="634"/>
    <n v="845"/>
  </r>
  <r>
    <n v="20"/>
    <x v="7"/>
    <n v="1599"/>
    <s v="ALEXANDRE"/>
    <x v="1"/>
    <x v="0"/>
    <n v="25000"/>
    <n v="20"/>
    <n v="20"/>
    <n v="4391.96"/>
    <n v="3409.0707640000001"/>
    <n v="0"/>
    <n v="22.38"/>
    <n v="37.71"/>
    <n v="403253.01"/>
    <n v="299537.48450800002"/>
    <n v="0"/>
    <n v="25.72"/>
    <n v="4"/>
    <n v="19"/>
    <n v="19"/>
    <n v="17"/>
    <n v="4.25"/>
    <n v="25000"/>
    <n v="0"/>
    <n v="0"/>
    <n v="37.15"/>
    <n v="2782"/>
    <n v="331000"/>
    <n v="331000"/>
    <n v="124844.86"/>
    <n v="285"/>
    <n v="87"/>
    <n v="285"/>
  </r>
  <r>
    <n v="17"/>
    <x v="8"/>
    <n v="1600"/>
    <s v="WENDERSON"/>
    <x v="1"/>
    <x v="0"/>
    <n v="25000"/>
    <n v="20"/>
    <n v="20"/>
    <n v="5445.8"/>
    <n v="3576.6040640000001"/>
    <n v="0"/>
    <n v="34.32"/>
    <n v="54.49"/>
    <n v="296737.34000000003"/>
    <n v="207292.61917799999"/>
    <n v="0"/>
    <n v="30.14"/>
    <n v="3"/>
    <n v="19"/>
    <n v="19"/>
    <n v="49"/>
    <n v="21"/>
    <n v="25000"/>
    <n v="0"/>
    <n v="0"/>
    <n v="23.4"/>
    <n v="2782"/>
    <n v="621000"/>
    <n v="621000"/>
    <n v="306617.2"/>
    <n v="340"/>
    <n v="138"/>
    <n v="340"/>
  </r>
  <r>
    <n v="2"/>
    <x v="0"/>
    <n v="28"/>
    <s v="RAIMUNDO"/>
    <x v="2"/>
    <x v="0"/>
    <n v="154000"/>
    <n v="110"/>
    <n v="110"/>
    <n v="11998.67"/>
    <n v="12493.794168"/>
    <n v="0"/>
    <n v="-4.13"/>
    <n v="20.149999999999999"/>
    <n v="846001.61"/>
    <n v="637404.95297400001"/>
    <n v="0"/>
    <n v="24.66"/>
    <n v="1"/>
    <n v="21"/>
    <n v="21"/>
    <n v="79"/>
    <n v="5.86"/>
    <n v="154000"/>
    <n v="0"/>
    <n v="0"/>
    <n v="21.03"/>
    <n v="2878"/>
    <n v="1279000"/>
    <n v="1279000"/>
    <n v="817160.5"/>
    <n v="815"/>
    <n v="491"/>
    <n v="815"/>
  </r>
  <r>
    <n v="10"/>
    <x v="1"/>
    <n v="314"/>
    <s v="JOSE"/>
    <x v="2"/>
    <x v="0"/>
    <n v="100000"/>
    <n v="65"/>
    <n v="65"/>
    <n v="55105.31"/>
    <n v="40467.768299000003"/>
    <n v="0"/>
    <n v="26.56"/>
    <n v="22.05"/>
    <n v="0"/>
    <n v="0"/>
    <n v="0"/>
    <n v="0"/>
    <n v="67"/>
    <n v="21"/>
    <n v="21"/>
    <n v="245"/>
    <n v="7.6"/>
    <n v="100000"/>
    <n v="3240.25"/>
    <n v="1"/>
    <n v="0"/>
    <n v="2878"/>
    <n v="631000"/>
    <n v="631000"/>
    <n v="388326.45"/>
    <n v="463"/>
    <n v="410"/>
    <n v="463"/>
  </r>
  <r>
    <n v="4"/>
    <x v="2"/>
    <n v="374"/>
    <s v="EDVALDO"/>
    <x v="2"/>
    <x v="0"/>
    <n v="0"/>
    <n v="0"/>
    <n v="0"/>
    <n v="0"/>
    <n v="767.27583300000003"/>
    <n v="0"/>
    <n v="0"/>
    <n v="1"/>
    <n v="605747.14"/>
    <n v="440429.91221899999"/>
    <n v="0"/>
    <n v="27.29"/>
    <n v="0"/>
    <n v="21"/>
    <n v="21"/>
    <n v="12"/>
    <n v="1.08"/>
    <n v="0"/>
    <n v="0"/>
    <n v="2"/>
    <n v="22.14"/>
    <n v="2878"/>
    <n v="805000"/>
    <n v="805000"/>
    <n v="672054.7"/>
    <n v="523"/>
    <n v="450"/>
    <n v="523"/>
  </r>
  <r>
    <n v="2"/>
    <x v="0"/>
    <n v="423"/>
    <s v="LENIVAL"/>
    <x v="2"/>
    <x v="0"/>
    <n v="115000"/>
    <n v="70"/>
    <n v="70"/>
    <n v="61799.59"/>
    <n v="45099.317149000002"/>
    <n v="0"/>
    <n v="27.02"/>
    <n v="16"/>
    <n v="846001.61"/>
    <n v="637404.95297400001"/>
    <n v="0"/>
    <n v="24.66"/>
    <n v="42"/>
    <n v="21"/>
    <n v="21"/>
    <n v="292"/>
    <n v="9.6199999999999992"/>
    <n v="115000"/>
    <n v="4307.42"/>
    <n v="1"/>
    <n v="21.03"/>
    <n v="2878"/>
    <n v="1279000"/>
    <n v="1279000"/>
    <n v="817160.5"/>
    <n v="815"/>
    <n v="491"/>
    <n v="815"/>
  </r>
  <r>
    <n v="6"/>
    <x v="3"/>
    <n v="465"/>
    <s v="FELIPE"/>
    <x v="2"/>
    <x v="0"/>
    <n v="90000"/>
    <n v="82"/>
    <n v="82"/>
    <n v="73960.91"/>
    <n v="55185.940505999999"/>
    <n v="0"/>
    <n v="25.38"/>
    <n v="17.93"/>
    <n v="745236.54"/>
    <n v="557606.39015999995"/>
    <n v="0"/>
    <n v="25.18"/>
    <n v="79"/>
    <n v="21"/>
    <n v="21"/>
    <n v="224"/>
    <n v="7.4"/>
    <n v="90000"/>
    <n v="450.26"/>
    <n v="5"/>
    <n v="21.43"/>
    <n v="2878"/>
    <n v="1045000"/>
    <n v="1045000"/>
    <n v="712884.96"/>
    <n v="862"/>
    <n v="676"/>
    <n v="862"/>
  </r>
  <r>
    <n v="6"/>
    <x v="3"/>
    <n v="481"/>
    <s v="LUIZ"/>
    <x v="2"/>
    <x v="0"/>
    <n v="50000"/>
    <n v="40"/>
    <n v="40"/>
    <n v="53357.75"/>
    <n v="40124.584690999996"/>
    <n v="0"/>
    <n v="24.8"/>
    <n v="19.14"/>
    <n v="745236.54"/>
    <n v="557606.39015999995"/>
    <n v="0"/>
    <n v="25.18"/>
    <n v="32"/>
    <n v="21"/>
    <n v="21"/>
    <n v="258"/>
    <n v="9.2899999999999991"/>
    <n v="50000"/>
    <n v="9518.98"/>
    <n v="3"/>
    <n v="21.43"/>
    <n v="2878"/>
    <n v="1045000"/>
    <n v="1045000"/>
    <n v="712884.96"/>
    <n v="862"/>
    <n v="676"/>
    <n v="862"/>
  </r>
  <r>
    <n v="2"/>
    <x v="0"/>
    <n v="520"/>
    <s v="AILTON"/>
    <x v="2"/>
    <x v="0"/>
    <n v="115000"/>
    <n v="69"/>
    <n v="69"/>
    <n v="84377.93"/>
    <n v="61607.295265000001"/>
    <n v="0"/>
    <n v="26.99"/>
    <n v="28.89"/>
    <n v="846001.61"/>
    <n v="637404.95297400001"/>
    <n v="0"/>
    <n v="24.66"/>
    <n v="50"/>
    <n v="21"/>
    <n v="21"/>
    <n v="245"/>
    <n v="12.4"/>
    <n v="115000"/>
    <n v="8496.7900000000009"/>
    <n v="0"/>
    <n v="21.03"/>
    <n v="2878"/>
    <n v="1279000"/>
    <n v="1279000"/>
    <n v="817160.5"/>
    <n v="815"/>
    <n v="491"/>
    <n v="815"/>
  </r>
  <r>
    <n v="2"/>
    <x v="0"/>
    <n v="577"/>
    <s v="NELITON"/>
    <x v="2"/>
    <x v="0"/>
    <n v="100000"/>
    <n v="15"/>
    <n v="15"/>
    <n v="101534.39"/>
    <n v="79193.833379999996"/>
    <n v="0"/>
    <n v="22"/>
    <n v="21.96"/>
    <n v="846001.61"/>
    <n v="637404.95297400001"/>
    <n v="0"/>
    <n v="24.66"/>
    <n v="15"/>
    <n v="21"/>
    <n v="21"/>
    <n v="145"/>
    <n v="8.65"/>
    <n v="100000"/>
    <n v="336.09"/>
    <n v="0"/>
    <n v="21.03"/>
    <n v="2878"/>
    <n v="1279000"/>
    <n v="1279000"/>
    <n v="817160.5"/>
    <n v="815"/>
    <n v="491"/>
    <n v="815"/>
  </r>
  <r>
    <n v="26"/>
    <x v="4"/>
    <n v="661"/>
    <s v="LUCIO"/>
    <x v="2"/>
    <x v="0"/>
    <n v="115000"/>
    <n v="85"/>
    <n v="85"/>
    <n v="151049.84"/>
    <n v="115168.77899999999"/>
    <n v="0"/>
    <n v="23.75"/>
    <n v="24.19"/>
    <n v="1049577.82"/>
    <n v="799787.90072599996"/>
    <n v="0"/>
    <n v="23.8"/>
    <n v="86"/>
    <n v="21"/>
    <n v="21"/>
    <n v="312"/>
    <n v="9.86"/>
    <n v="115000"/>
    <n v="372.25"/>
    <n v="2"/>
    <n v="24.13"/>
    <n v="2878"/>
    <n v="968000"/>
    <n v="968000"/>
    <n v="884541.65"/>
    <n v="711"/>
    <n v="607"/>
    <n v="711"/>
  </r>
  <r>
    <n v="2"/>
    <x v="0"/>
    <n v="690"/>
    <s v="MARCIO"/>
    <x v="2"/>
    <x v="0"/>
    <n v="110000"/>
    <n v="90"/>
    <n v="90"/>
    <n v="63768.65"/>
    <n v="47701.498122999998"/>
    <n v="0"/>
    <n v="25.2"/>
    <n v="17.829999999999998"/>
    <n v="846001.61"/>
    <n v="637404.95297400001"/>
    <n v="0"/>
    <n v="24.66"/>
    <n v="62"/>
    <n v="21"/>
    <n v="21"/>
    <n v="327"/>
    <n v="12"/>
    <n v="110000"/>
    <n v="2000.74"/>
    <n v="1"/>
    <n v="21.03"/>
    <n v="2878"/>
    <n v="1279000"/>
    <n v="1279000"/>
    <n v="817160.5"/>
    <n v="815"/>
    <n v="491"/>
    <n v="815"/>
  </r>
  <r>
    <n v="26"/>
    <x v="4"/>
    <n v="705"/>
    <s v="HENRIQUERSON"/>
    <x v="2"/>
    <x v="0"/>
    <n v="112000"/>
    <n v="35"/>
    <n v="35"/>
    <n v="114999.74"/>
    <n v="92653.417776000002"/>
    <n v="0"/>
    <n v="19.43"/>
    <n v="28.22"/>
    <n v="1049577.82"/>
    <n v="799787.90072599996"/>
    <n v="0"/>
    <n v="23.8"/>
    <n v="31"/>
    <n v="21"/>
    <n v="21"/>
    <n v="410"/>
    <n v="14.11"/>
    <n v="112000"/>
    <n v="2534.4"/>
    <n v="0"/>
    <n v="24.13"/>
    <n v="2878"/>
    <n v="968000"/>
    <n v="968000"/>
    <n v="884541.65"/>
    <n v="711"/>
    <n v="607"/>
    <n v="711"/>
  </r>
  <r>
    <n v="6"/>
    <x v="3"/>
    <n v="746"/>
    <s v="LUANA"/>
    <x v="2"/>
    <x v="0"/>
    <n v="100000"/>
    <n v="60"/>
    <n v="60"/>
    <n v="41612.559999999998"/>
    <n v="32410.075066000001"/>
    <n v="0"/>
    <n v="22.11"/>
    <n v="24.72"/>
    <n v="745236.54"/>
    <n v="557606.39015999995"/>
    <n v="0"/>
    <n v="25.18"/>
    <n v="33"/>
    <n v="21"/>
    <n v="21"/>
    <n v="240"/>
    <n v="9.6999999999999993"/>
    <n v="100000"/>
    <n v="493.9"/>
    <n v="0"/>
    <n v="21.43"/>
    <n v="2878"/>
    <n v="1045000"/>
    <n v="1045000"/>
    <n v="712884.96"/>
    <n v="862"/>
    <n v="676"/>
    <n v="862"/>
  </r>
  <r>
    <n v="2"/>
    <x v="0"/>
    <n v="756"/>
    <s v="EDERLEI"/>
    <x v="2"/>
    <x v="0"/>
    <n v="110000"/>
    <n v="60"/>
    <n v="60"/>
    <n v="31218.79"/>
    <n v="23967.880905000002"/>
    <n v="0"/>
    <n v="23.23"/>
    <n v="23.44"/>
    <n v="846001.61"/>
    <n v="637404.95297400001"/>
    <n v="0"/>
    <n v="24.66"/>
    <n v="27"/>
    <n v="21"/>
    <n v="21"/>
    <n v="210"/>
    <n v="10.49"/>
    <n v="110000"/>
    <n v="317.5"/>
    <n v="0"/>
    <n v="21.03"/>
    <n v="2878"/>
    <n v="1279000"/>
    <n v="1279000"/>
    <n v="817160.5"/>
    <n v="815"/>
    <n v="491"/>
    <n v="815"/>
  </r>
  <r>
    <n v="26"/>
    <x v="4"/>
    <n v="759"/>
    <s v="FRANCISCA"/>
    <x v="2"/>
    <x v="0"/>
    <n v="52000"/>
    <n v="49"/>
    <n v="49"/>
    <n v="52925.97"/>
    <n v="39654.814597999997"/>
    <n v="0"/>
    <n v="25.07"/>
    <n v="19.7"/>
    <n v="1049577.82"/>
    <n v="799787.90072599996"/>
    <n v="0"/>
    <n v="23.8"/>
    <n v="49"/>
    <n v="21"/>
    <n v="21"/>
    <n v="225"/>
    <n v="10.050000000000001"/>
    <n v="52000"/>
    <n v="104.73"/>
    <n v="1"/>
    <n v="24.13"/>
    <n v="2878"/>
    <n v="968000"/>
    <n v="968000"/>
    <n v="884541.65"/>
    <n v="711"/>
    <n v="607"/>
    <n v="711"/>
  </r>
  <r>
    <n v="5"/>
    <x v="5"/>
    <n v="760"/>
    <s v="JEAN"/>
    <x v="2"/>
    <x v="0"/>
    <n v="160000"/>
    <n v="30"/>
    <n v="30"/>
    <n v="170894.87"/>
    <n v="128704.885261"/>
    <n v="0"/>
    <n v="24.69"/>
    <n v="41.94"/>
    <n v="262785.44"/>
    <n v="201080.285252"/>
    <n v="0"/>
    <n v="23.48"/>
    <n v="33"/>
    <n v="21"/>
    <n v="21"/>
    <n v="126"/>
    <n v="5.82"/>
    <n v="160000"/>
    <n v="9630.2199999999993"/>
    <n v="0"/>
    <n v="24.18"/>
    <n v="2878"/>
    <n v="450000"/>
    <n v="450000"/>
    <n v="299960.98"/>
    <n v="200"/>
    <n v="100"/>
    <n v="200"/>
  </r>
  <r>
    <n v="6"/>
    <x v="3"/>
    <n v="764"/>
    <s v="JORGE"/>
    <x v="2"/>
    <x v="0"/>
    <n v="108000"/>
    <n v="83"/>
    <n v="83"/>
    <n v="104161.34"/>
    <n v="78282.455740000005"/>
    <n v="0"/>
    <n v="24.84"/>
    <n v="18.95"/>
    <n v="745236.54"/>
    <n v="557606.39015999995"/>
    <n v="0"/>
    <n v="25.18"/>
    <n v="83"/>
    <n v="21"/>
    <n v="21"/>
    <n v="626"/>
    <n v="13.85"/>
    <n v="108000"/>
    <n v="304.64999999999998"/>
    <n v="1"/>
    <n v="21.43"/>
    <n v="2878"/>
    <n v="1045000"/>
    <n v="1045000"/>
    <n v="712884.96"/>
    <n v="862"/>
    <n v="676"/>
    <n v="862"/>
  </r>
  <r>
    <n v="26"/>
    <x v="4"/>
    <n v="796"/>
    <s v="PEDRO"/>
    <x v="2"/>
    <x v="0"/>
    <n v="37000"/>
    <n v="3"/>
    <n v="3"/>
    <n v="35309.160000000003"/>
    <n v="30999.581106000001"/>
    <n v="0"/>
    <n v="12.21"/>
    <n v="37.119999999999997"/>
    <n v="1049577.82"/>
    <n v="799787.90072599996"/>
    <n v="0"/>
    <n v="23.8"/>
    <n v="1"/>
    <n v="21"/>
    <n v="21"/>
    <n v="227"/>
    <n v="6.56"/>
    <n v="37000"/>
    <n v="341.85"/>
    <n v="0"/>
    <n v="24.13"/>
    <n v="2878"/>
    <n v="968000"/>
    <n v="968000"/>
    <n v="884541.65"/>
    <n v="711"/>
    <n v="607"/>
    <n v="711"/>
  </r>
  <r>
    <n v="12"/>
    <x v="6"/>
    <n v="800"/>
    <s v="WANDERSON"/>
    <x v="2"/>
    <x v="0"/>
    <n v="60000"/>
    <n v="70"/>
    <n v="70"/>
    <n v="20105.240000000002"/>
    <n v="15431.457866999999"/>
    <n v="0"/>
    <n v="23.25"/>
    <n v="10.79"/>
    <n v="341385.34"/>
    <n v="256949.644531"/>
    <n v="0"/>
    <n v="24.73"/>
    <n v="37"/>
    <n v="21"/>
    <n v="21"/>
    <n v="151"/>
    <n v="5.88"/>
    <n v="60000"/>
    <n v="1306.49"/>
    <n v="0"/>
    <n v="29.95"/>
    <n v="2878"/>
    <n v="665000"/>
    <n v="665000"/>
    <n v="304209.8"/>
    <n v="750"/>
    <n v="397"/>
    <n v="750"/>
  </r>
  <r>
    <n v="2"/>
    <x v="0"/>
    <n v="817"/>
    <s v="GUTEMBERG"/>
    <x v="2"/>
    <x v="0"/>
    <n v="110000"/>
    <n v="70"/>
    <n v="70"/>
    <n v="120969.2"/>
    <n v="89244.449561000001"/>
    <n v="0"/>
    <n v="26.23"/>
    <n v="20.91"/>
    <n v="846001.61"/>
    <n v="637404.95297400001"/>
    <n v="0"/>
    <n v="24.66"/>
    <n v="71"/>
    <n v="21"/>
    <n v="21"/>
    <n v="399"/>
    <n v="13.85"/>
    <n v="110000"/>
    <n v="388.72"/>
    <n v="1"/>
    <n v="21.03"/>
    <n v="2878"/>
    <n v="1279000"/>
    <n v="1279000"/>
    <n v="817160.5"/>
    <n v="815"/>
    <n v="491"/>
    <n v="815"/>
  </r>
  <r>
    <n v="12"/>
    <x v="6"/>
    <n v="853"/>
    <s v="KELLY"/>
    <x v="2"/>
    <x v="0"/>
    <n v="60000"/>
    <n v="65"/>
    <n v="65"/>
    <n v="33540.120000000003"/>
    <n v="25847.996920000001"/>
    <n v="0"/>
    <n v="22.93"/>
    <n v="15.96"/>
    <n v="341385.34"/>
    <n v="256949.644531"/>
    <n v="0"/>
    <n v="24.73"/>
    <n v="39"/>
    <n v="21"/>
    <n v="21"/>
    <n v="244"/>
    <n v="10.91"/>
    <n v="60000"/>
    <n v="832.8"/>
    <n v="0"/>
    <n v="29.95"/>
    <n v="2878"/>
    <n v="665000"/>
    <n v="665000"/>
    <n v="304209.8"/>
    <n v="750"/>
    <n v="397"/>
    <n v="750"/>
  </r>
  <r>
    <n v="12"/>
    <x v="6"/>
    <n v="884"/>
    <s v="JOILSON"/>
    <x v="2"/>
    <x v="0"/>
    <n v="50000"/>
    <n v="60"/>
    <n v="60"/>
    <n v="231.88"/>
    <n v="1834.909316"/>
    <n v="0"/>
    <n v="-691.32"/>
    <n v="2.33"/>
    <n v="341385.34"/>
    <n v="256949.644531"/>
    <n v="0"/>
    <n v="24.73"/>
    <n v="1"/>
    <n v="21"/>
    <n v="21"/>
    <n v="18"/>
    <n v="1.71"/>
    <n v="50000"/>
    <n v="0"/>
    <n v="0"/>
    <n v="29.95"/>
    <n v="2878"/>
    <n v="665000"/>
    <n v="665000"/>
    <n v="304209.8"/>
    <n v="750"/>
    <n v="397"/>
    <n v="750"/>
  </r>
  <r>
    <n v="10"/>
    <x v="1"/>
    <n v="922"/>
    <s v="SILVANA"/>
    <x v="2"/>
    <x v="0"/>
    <n v="60000"/>
    <n v="65"/>
    <n v="65"/>
    <n v="63709.42"/>
    <n v="47250.524279999998"/>
    <n v="0"/>
    <n v="25.83"/>
    <n v="22.41"/>
    <n v="0"/>
    <n v="0"/>
    <n v="0"/>
    <n v="0"/>
    <n v="69"/>
    <n v="21"/>
    <n v="21"/>
    <n v="513"/>
    <n v="10.99"/>
    <n v="60000"/>
    <n v="186.12"/>
    <n v="2"/>
    <n v="0"/>
    <n v="2878"/>
    <n v="631000"/>
    <n v="631000"/>
    <n v="388326.45"/>
    <n v="463"/>
    <n v="410"/>
    <n v="463"/>
  </r>
  <r>
    <n v="4"/>
    <x v="2"/>
    <n v="949"/>
    <s v="JOCINELMA"/>
    <x v="2"/>
    <x v="0"/>
    <n v="115000"/>
    <n v="60"/>
    <n v="60"/>
    <n v="83120.56"/>
    <n v="59819.962834999998"/>
    <n v="0"/>
    <n v="28.03"/>
    <n v="19.98"/>
    <n v="605747.14"/>
    <n v="440429.91221899999"/>
    <n v="0"/>
    <n v="27.29"/>
    <n v="56"/>
    <n v="21"/>
    <n v="21"/>
    <n v="624"/>
    <n v="14.59"/>
    <n v="115000"/>
    <n v="0"/>
    <n v="6"/>
    <n v="22.14"/>
    <n v="2878"/>
    <n v="805000"/>
    <n v="805000"/>
    <n v="672054.7"/>
    <n v="523"/>
    <n v="450"/>
    <n v="523"/>
  </r>
  <r>
    <n v="26"/>
    <x v="4"/>
    <n v="950"/>
    <s v="PEDRO"/>
    <x v="2"/>
    <x v="0"/>
    <n v="88000"/>
    <n v="71"/>
    <n v="71"/>
    <n v="63493.91"/>
    <n v="47863.060742000001"/>
    <n v="0"/>
    <n v="24.62"/>
    <n v="25.66"/>
    <n v="1049577.82"/>
    <n v="799787.90072599996"/>
    <n v="0"/>
    <n v="23.8"/>
    <n v="52"/>
    <n v="21"/>
    <n v="21"/>
    <n v="302"/>
    <n v="9.93"/>
    <n v="88000"/>
    <n v="451.02"/>
    <n v="0"/>
    <n v="24.13"/>
    <n v="2878"/>
    <n v="968000"/>
    <n v="968000"/>
    <n v="884541.65"/>
    <n v="711"/>
    <n v="607"/>
    <n v="711"/>
  </r>
  <r>
    <n v="26"/>
    <x v="4"/>
    <n v="962"/>
    <s v="ROMARIO"/>
    <x v="2"/>
    <x v="0"/>
    <n v="50000"/>
    <n v="49"/>
    <n v="49"/>
    <n v="47422.47"/>
    <n v="36020.402600000001"/>
    <n v="0"/>
    <n v="24.04"/>
    <n v="19.14"/>
    <n v="1049577.82"/>
    <n v="799787.90072599996"/>
    <n v="0"/>
    <n v="23.8"/>
    <n v="49"/>
    <n v="21"/>
    <n v="21"/>
    <n v="398"/>
    <n v="11.7"/>
    <n v="50000"/>
    <n v="0"/>
    <n v="0"/>
    <n v="24.13"/>
    <n v="2878"/>
    <n v="968000"/>
    <n v="968000"/>
    <n v="884541.65"/>
    <n v="711"/>
    <n v="607"/>
    <n v="711"/>
  </r>
  <r>
    <n v="4"/>
    <x v="2"/>
    <n v="977"/>
    <s v="EVERTON"/>
    <x v="2"/>
    <x v="0"/>
    <n v="150000"/>
    <n v="104"/>
    <n v="104"/>
    <n v="177290.73"/>
    <n v="128960.82124600001"/>
    <n v="0"/>
    <n v="27.26"/>
    <n v="22.21"/>
    <n v="605747.14"/>
    <n v="440429.91221899999"/>
    <n v="0"/>
    <n v="27.29"/>
    <n v="105"/>
    <n v="21"/>
    <n v="21"/>
    <n v="993"/>
    <n v="16.61"/>
    <n v="150000"/>
    <n v="0"/>
    <n v="0"/>
    <n v="22.14"/>
    <n v="2878"/>
    <n v="805000"/>
    <n v="805000"/>
    <n v="672054.7"/>
    <n v="523"/>
    <n v="450"/>
    <n v="523"/>
  </r>
  <r>
    <n v="6"/>
    <x v="3"/>
    <n v="983"/>
    <s v="CRISTIELLEN"/>
    <x v="2"/>
    <x v="0"/>
    <n v="50000"/>
    <n v="27"/>
    <n v="27"/>
    <n v="0"/>
    <n v="969.75806799999998"/>
    <n v="0"/>
    <n v="0"/>
    <n v="1"/>
    <n v="745236.54"/>
    <n v="557606.39015999995"/>
    <n v="0"/>
    <n v="25.18"/>
    <n v="0"/>
    <n v="21"/>
    <n v="21"/>
    <n v="14"/>
    <n v="1.45"/>
    <n v="50000"/>
    <n v="1836.72"/>
    <n v="0"/>
    <n v="21.43"/>
    <n v="2878"/>
    <n v="1045000"/>
    <n v="1045000"/>
    <n v="712884.96"/>
    <n v="862"/>
    <n v="676"/>
    <n v="862"/>
  </r>
  <r>
    <n v="26"/>
    <x v="4"/>
    <n v="1023"/>
    <s v="JOSINILDO"/>
    <x v="2"/>
    <x v="0"/>
    <n v="95000"/>
    <n v="86"/>
    <n v="86"/>
    <n v="79774.91"/>
    <n v="58910.389142"/>
    <n v="0"/>
    <n v="26.15"/>
    <n v="26.1"/>
    <n v="1049577.82"/>
    <n v="799787.90072599996"/>
    <n v="0"/>
    <n v="23.8"/>
    <n v="46"/>
    <n v="21"/>
    <n v="21"/>
    <n v="422"/>
    <n v="14.22"/>
    <n v="95000"/>
    <n v="687.18"/>
    <n v="0"/>
    <n v="24.13"/>
    <n v="2878"/>
    <n v="968000"/>
    <n v="968000"/>
    <n v="884541.65"/>
    <n v="711"/>
    <n v="607"/>
    <n v="711"/>
  </r>
  <r>
    <n v="2"/>
    <x v="0"/>
    <n v="1027"/>
    <s v="SUELI"/>
    <x v="2"/>
    <x v="0"/>
    <n v="65000"/>
    <n v="50"/>
    <n v="50"/>
    <n v="63501.120000000003"/>
    <n v="47180.934346000002"/>
    <n v="0"/>
    <n v="25.7"/>
    <n v="24.65"/>
    <n v="846001.61"/>
    <n v="637404.95297400001"/>
    <n v="0"/>
    <n v="24.66"/>
    <n v="37"/>
    <n v="21"/>
    <n v="21"/>
    <n v="459"/>
    <n v="16.59"/>
    <n v="65000"/>
    <n v="0"/>
    <n v="1"/>
    <n v="21.03"/>
    <n v="2878"/>
    <n v="1279000"/>
    <n v="1279000"/>
    <n v="817160.5"/>
    <n v="815"/>
    <n v="491"/>
    <n v="815"/>
  </r>
  <r>
    <n v="12"/>
    <x v="6"/>
    <n v="1036"/>
    <s v="LUIZ"/>
    <x v="2"/>
    <x v="0"/>
    <n v="50000"/>
    <n v="60"/>
    <n v="60"/>
    <n v="29019.62"/>
    <n v="21918.334053999999"/>
    <n v="0"/>
    <n v="24.47"/>
    <n v="15.64"/>
    <n v="341385.34"/>
    <n v="256949.644531"/>
    <n v="0"/>
    <n v="24.73"/>
    <n v="31"/>
    <n v="21"/>
    <n v="21"/>
    <n v="198"/>
    <n v="11.05"/>
    <n v="50000"/>
    <n v="15.96"/>
    <n v="1"/>
    <n v="29.95"/>
    <n v="2878"/>
    <n v="665000"/>
    <n v="665000"/>
    <n v="304209.8"/>
    <n v="750"/>
    <n v="397"/>
    <n v="750"/>
  </r>
  <r>
    <n v="12"/>
    <x v="6"/>
    <n v="1068"/>
    <s v="AMARO"/>
    <x v="2"/>
    <x v="0"/>
    <n v="70000"/>
    <n v="65"/>
    <n v="65"/>
    <n v="48941.1"/>
    <n v="37831.001906999998"/>
    <n v="0"/>
    <n v="22.7"/>
    <n v="19.14"/>
    <n v="341385.34"/>
    <n v="256949.644531"/>
    <n v="0"/>
    <n v="24.73"/>
    <n v="65"/>
    <n v="21"/>
    <n v="21"/>
    <n v="295"/>
    <n v="8.64"/>
    <n v="70000"/>
    <n v="393.33"/>
    <n v="1"/>
    <n v="29.95"/>
    <n v="2878"/>
    <n v="665000"/>
    <n v="665000"/>
    <n v="304209.8"/>
    <n v="750"/>
    <n v="397"/>
    <n v="750"/>
  </r>
  <r>
    <n v="5"/>
    <x v="5"/>
    <n v="1125"/>
    <s v="JOSE"/>
    <x v="2"/>
    <x v="0"/>
    <n v="80000"/>
    <n v="20"/>
    <n v="20"/>
    <n v="4921.28"/>
    <n v="4160.9189180000003"/>
    <n v="0"/>
    <n v="15.45"/>
    <n v="25.79"/>
    <n v="262785.44"/>
    <n v="201080.285252"/>
    <n v="0"/>
    <n v="23.48"/>
    <n v="3"/>
    <n v="21"/>
    <n v="21"/>
    <n v="24"/>
    <n v="6.6"/>
    <n v="80000"/>
    <n v="1217"/>
    <n v="0"/>
    <n v="24.18"/>
    <n v="2878"/>
    <n v="450000"/>
    <n v="450000"/>
    <n v="299960.98"/>
    <n v="200"/>
    <n v="100"/>
    <n v="200"/>
  </r>
  <r>
    <n v="20"/>
    <x v="7"/>
    <n v="1155"/>
    <s v="HERNEN"/>
    <x v="2"/>
    <x v="0"/>
    <n v="67000"/>
    <n v="60"/>
    <n v="60"/>
    <n v="9424.2000000000007"/>
    <n v="8025.8227189999998"/>
    <n v="0"/>
    <n v="14.84"/>
    <n v="35.6"/>
    <n v="419999.02"/>
    <n v="316673.86645799997"/>
    <n v="0"/>
    <n v="24.6"/>
    <n v="6"/>
    <n v="21"/>
    <n v="21"/>
    <n v="53"/>
    <n v="4.07"/>
    <n v="67000"/>
    <n v="74.75"/>
    <n v="0"/>
    <n v="33.020000000000003"/>
    <n v="2878"/>
    <n v="307000"/>
    <n v="307000"/>
    <n v="161835.67000000001"/>
    <n v="260"/>
    <n v="111"/>
    <n v="260"/>
  </r>
  <r>
    <n v="5"/>
    <x v="5"/>
    <n v="1158"/>
    <s v="CLEITON"/>
    <x v="2"/>
    <x v="0"/>
    <n v="25000"/>
    <n v="30"/>
    <n v="30"/>
    <n v="0"/>
    <n v="634.81980199999998"/>
    <n v="0"/>
    <n v="0"/>
    <n v="1"/>
    <n v="262785.44"/>
    <n v="201080.285252"/>
    <n v="0"/>
    <n v="23.48"/>
    <n v="0"/>
    <n v="21"/>
    <n v="21"/>
    <n v="7"/>
    <n v="2.33"/>
    <n v="25000"/>
    <n v="0"/>
    <n v="0"/>
    <n v="24.18"/>
    <n v="2878"/>
    <n v="450000"/>
    <n v="450000"/>
    <n v="299960.98"/>
    <n v="200"/>
    <n v="100"/>
    <n v="200"/>
  </r>
  <r>
    <n v="6"/>
    <x v="3"/>
    <n v="1171"/>
    <s v="EMANUEL"/>
    <x v="2"/>
    <x v="0"/>
    <n v="125000"/>
    <n v="90"/>
    <n v="90"/>
    <n v="69300.149999999994"/>
    <n v="52218.526860999998"/>
    <n v="0"/>
    <n v="24.65"/>
    <n v="22.82"/>
    <n v="745236.54"/>
    <n v="557606.39015999995"/>
    <n v="0"/>
    <n v="25.18"/>
    <n v="51"/>
    <n v="21"/>
    <n v="21"/>
    <n v="594"/>
    <n v="20.88"/>
    <n v="125000"/>
    <n v="3816.83"/>
    <n v="0"/>
    <n v="21.43"/>
    <n v="2878"/>
    <n v="1045000"/>
    <n v="1045000"/>
    <n v="712884.96"/>
    <n v="862"/>
    <n v="676"/>
    <n v="862"/>
  </r>
  <r>
    <n v="6"/>
    <x v="3"/>
    <n v="1237"/>
    <s v="MARCOS"/>
    <x v="2"/>
    <x v="0"/>
    <n v="69000"/>
    <n v="69"/>
    <n v="69"/>
    <n v="53885.59"/>
    <n v="39785.486154999999"/>
    <n v="0"/>
    <n v="26.17"/>
    <n v="20.13"/>
    <n v="745236.54"/>
    <n v="557606.39015999995"/>
    <n v="0"/>
    <n v="25.18"/>
    <n v="63"/>
    <n v="21"/>
    <n v="21"/>
    <n v="432"/>
    <n v="13.96"/>
    <n v="69000"/>
    <n v="101.88"/>
    <n v="0"/>
    <n v="21.43"/>
    <n v="2878"/>
    <n v="1045000"/>
    <n v="1045000"/>
    <n v="712884.96"/>
    <n v="862"/>
    <n v="676"/>
    <n v="862"/>
  </r>
  <r>
    <n v="26"/>
    <x v="4"/>
    <n v="1238"/>
    <s v="MARY"/>
    <x v="2"/>
    <x v="0"/>
    <n v="40000"/>
    <n v="15"/>
    <n v="15"/>
    <n v="40725.81"/>
    <n v="30442.272987"/>
    <n v="0"/>
    <n v="25.25"/>
    <n v="32.340000000000003"/>
    <n v="1049577.82"/>
    <n v="799787.90072599996"/>
    <n v="0"/>
    <n v="23.8"/>
    <n v="16"/>
    <n v="21"/>
    <n v="21"/>
    <n v="120"/>
    <n v="8.3000000000000007"/>
    <n v="40000"/>
    <n v="0"/>
    <n v="0"/>
    <n v="24.13"/>
    <n v="2878"/>
    <n v="968000"/>
    <n v="968000"/>
    <n v="884541.65"/>
    <n v="711"/>
    <n v="607"/>
    <n v="711"/>
  </r>
  <r>
    <n v="6"/>
    <x v="3"/>
    <n v="1241"/>
    <s v="JEAN"/>
    <x v="2"/>
    <x v="0"/>
    <n v="90000"/>
    <n v="80"/>
    <n v="80"/>
    <n v="65035.13"/>
    <n v="47700.357918000002"/>
    <n v="0"/>
    <n v="26.65"/>
    <n v="22.52"/>
    <n v="745236.54"/>
    <n v="557606.39015999995"/>
    <n v="0"/>
    <n v="25.18"/>
    <n v="71"/>
    <n v="21"/>
    <n v="21"/>
    <n v="440"/>
    <n v="10.51"/>
    <n v="90000"/>
    <n v="68.849999999999994"/>
    <n v="0"/>
    <n v="21.43"/>
    <n v="2878"/>
    <n v="1045000"/>
    <n v="1045000"/>
    <n v="712884.96"/>
    <n v="862"/>
    <n v="676"/>
    <n v="862"/>
  </r>
  <r>
    <n v="26"/>
    <x v="4"/>
    <n v="1265"/>
    <s v="SAMUEL"/>
    <x v="2"/>
    <x v="0"/>
    <n v="140000"/>
    <n v="125"/>
    <n v="125"/>
    <n v="146543.95000000001"/>
    <n v="110354.861594"/>
    <n v="0"/>
    <n v="24.7"/>
    <n v="21.46"/>
    <n v="1049577.82"/>
    <n v="799787.90072599996"/>
    <n v="0"/>
    <n v="23.8"/>
    <n v="125"/>
    <n v="21"/>
    <n v="21"/>
    <n v="389"/>
    <n v="7.54"/>
    <n v="140000"/>
    <n v="11972.07"/>
    <n v="0"/>
    <n v="24.13"/>
    <n v="2878"/>
    <n v="968000"/>
    <n v="968000"/>
    <n v="884541.65"/>
    <n v="711"/>
    <n v="607"/>
    <n v="711"/>
  </r>
  <r>
    <n v="10"/>
    <x v="1"/>
    <n v="1271"/>
    <s v="ALISON"/>
    <x v="2"/>
    <x v="0"/>
    <n v="85000"/>
    <n v="65"/>
    <n v="65"/>
    <n v="45962.91"/>
    <n v="34075.464399999997"/>
    <n v="0"/>
    <n v="25.86"/>
    <n v="10.89"/>
    <n v="0"/>
    <n v="0"/>
    <n v="0"/>
    <n v="0"/>
    <n v="65"/>
    <n v="21"/>
    <n v="21"/>
    <n v="374"/>
    <n v="8"/>
    <n v="85000"/>
    <n v="3156.63"/>
    <n v="4"/>
    <n v="0"/>
    <n v="2878"/>
    <n v="631000"/>
    <n v="631000"/>
    <n v="388326.45"/>
    <n v="463"/>
    <n v="410"/>
    <n v="463"/>
  </r>
  <r>
    <n v="2"/>
    <x v="0"/>
    <n v="1280"/>
    <s v="ARIANE"/>
    <x v="2"/>
    <x v="0"/>
    <n v="90000"/>
    <n v="60"/>
    <n v="60"/>
    <n v="50596.43"/>
    <n v="37768.937999000002"/>
    <n v="0"/>
    <n v="25.35"/>
    <n v="19.21"/>
    <n v="846001.61"/>
    <n v="637404.95297400001"/>
    <n v="0"/>
    <n v="24.66"/>
    <n v="21"/>
    <n v="21"/>
    <n v="21"/>
    <n v="471"/>
    <n v="17.260000000000002"/>
    <n v="90000"/>
    <n v="219.5"/>
    <n v="1"/>
    <n v="21.03"/>
    <n v="2878"/>
    <n v="1279000"/>
    <n v="1279000"/>
    <n v="817160.5"/>
    <n v="815"/>
    <n v="491"/>
    <n v="815"/>
  </r>
  <r>
    <n v="17"/>
    <x v="8"/>
    <n v="1292"/>
    <s v="EMANOEL"/>
    <x v="2"/>
    <x v="0"/>
    <n v="100000"/>
    <n v="55"/>
    <n v="55"/>
    <n v="100192.93"/>
    <n v="70645.421568000005"/>
    <n v="0"/>
    <n v="29.49"/>
    <n v="24.15"/>
    <n v="373950.57"/>
    <n v="266591.70954100002"/>
    <n v="0"/>
    <n v="28.71"/>
    <n v="50"/>
    <n v="21"/>
    <n v="21"/>
    <n v="493"/>
    <n v="13.85"/>
    <n v="100000"/>
    <n v="437.24"/>
    <n v="1"/>
    <n v="26"/>
    <n v="2878"/>
    <n v="615000"/>
    <n v="615000"/>
    <n v="383607.4"/>
    <n v="340"/>
    <n v="175"/>
    <n v="340"/>
  </r>
  <r>
    <n v="12"/>
    <x v="6"/>
    <n v="1330"/>
    <s v="LUIZ"/>
    <x v="2"/>
    <x v="0"/>
    <n v="60000"/>
    <n v="70"/>
    <n v="70"/>
    <n v="19093.669999999998"/>
    <n v="14866.590043"/>
    <n v="0"/>
    <n v="22.14"/>
    <n v="11.97"/>
    <n v="341385.34"/>
    <n v="256949.644531"/>
    <n v="0"/>
    <n v="24.73"/>
    <n v="40"/>
    <n v="21"/>
    <n v="21"/>
    <n v="126"/>
    <n v="6.28"/>
    <n v="60000"/>
    <n v="0"/>
    <n v="0"/>
    <n v="29.95"/>
    <n v="2878"/>
    <n v="665000"/>
    <n v="665000"/>
    <n v="304209.8"/>
    <n v="750"/>
    <n v="397"/>
    <n v="750"/>
  </r>
  <r>
    <n v="26"/>
    <x v="4"/>
    <n v="1336"/>
    <s v="REGINALDO"/>
    <x v="2"/>
    <x v="0"/>
    <n v="55000"/>
    <n v="57"/>
    <n v="57"/>
    <n v="45422"/>
    <n v="32652.591628999999"/>
    <n v="0"/>
    <n v="28.11"/>
    <n v="20.02"/>
    <n v="1049577.82"/>
    <n v="799787.90072599996"/>
    <n v="0"/>
    <n v="23.8"/>
    <n v="39"/>
    <n v="21"/>
    <n v="21"/>
    <n v="264"/>
    <n v="12.09"/>
    <n v="55000"/>
    <n v="13139.69"/>
    <n v="0"/>
    <n v="24.13"/>
    <n v="2878"/>
    <n v="968000"/>
    <n v="968000"/>
    <n v="884541.65"/>
    <n v="711"/>
    <n v="607"/>
    <n v="711"/>
  </r>
  <r>
    <n v="6"/>
    <x v="3"/>
    <n v="1337"/>
    <s v="IZABELLI"/>
    <x v="2"/>
    <x v="0"/>
    <n v="65000"/>
    <n v="61"/>
    <n v="61"/>
    <n v="42367.66"/>
    <n v="31717.836693000001"/>
    <n v="0"/>
    <n v="25.14"/>
    <n v="16.010000000000002"/>
    <n v="745236.54"/>
    <n v="557606.39015999995"/>
    <n v="0"/>
    <n v="25.18"/>
    <n v="49"/>
    <n v="21"/>
    <n v="21"/>
    <n v="220"/>
    <n v="10.98"/>
    <n v="65000"/>
    <n v="70.05"/>
    <n v="2"/>
    <n v="21.43"/>
    <n v="2878"/>
    <n v="1045000"/>
    <n v="1045000"/>
    <n v="712884.96"/>
    <n v="862"/>
    <n v="676"/>
    <n v="862"/>
  </r>
  <r>
    <n v="17"/>
    <x v="8"/>
    <n v="1343"/>
    <s v="J.CRUZ"/>
    <x v="2"/>
    <x v="0"/>
    <n v="45000"/>
    <n v="1"/>
    <n v="1"/>
    <n v="21611.52"/>
    <n v="14685.520463000001"/>
    <n v="0"/>
    <n v="32.049999999999997"/>
    <n v="30.02"/>
    <n v="373950.57"/>
    <n v="266591.70954100002"/>
    <n v="0"/>
    <n v="28.71"/>
    <n v="2"/>
    <n v="21"/>
    <n v="21"/>
    <n v="270"/>
    <n v="48.33"/>
    <n v="45000"/>
    <n v="97.2"/>
    <n v="0"/>
    <n v="26"/>
    <n v="2878"/>
    <n v="615000"/>
    <n v="615000"/>
    <n v="383607.4"/>
    <n v="340"/>
    <n v="175"/>
    <n v="340"/>
  </r>
  <r>
    <n v="10"/>
    <x v="1"/>
    <n v="1359"/>
    <s v="HENRIQUE"/>
    <x v="2"/>
    <x v="0"/>
    <n v="80000"/>
    <n v="50"/>
    <n v="50"/>
    <n v="37405.230000000003"/>
    <n v="27977.849025"/>
    <n v="0"/>
    <n v="25.2"/>
    <n v="25.34"/>
    <n v="0"/>
    <n v="0"/>
    <n v="0"/>
    <n v="0"/>
    <n v="30"/>
    <n v="21"/>
    <n v="21"/>
    <n v="215"/>
    <n v="11.19"/>
    <n v="80000"/>
    <n v="180.16"/>
    <n v="0"/>
    <n v="0"/>
    <n v="2878"/>
    <n v="631000"/>
    <n v="631000"/>
    <n v="388326.45"/>
    <n v="463"/>
    <n v="410"/>
    <n v="463"/>
  </r>
  <r>
    <n v="6"/>
    <x v="3"/>
    <n v="1385"/>
    <s v="ADAUTO"/>
    <x v="2"/>
    <x v="0"/>
    <n v="78000"/>
    <n v="77"/>
    <n v="77"/>
    <n v="58421.79"/>
    <n v="44196.641439999999"/>
    <n v="0"/>
    <n v="24.35"/>
    <n v="17.510000000000002"/>
    <n v="745236.54"/>
    <n v="557606.39015999995"/>
    <n v="0"/>
    <n v="25.18"/>
    <n v="70"/>
    <n v="21"/>
    <n v="21"/>
    <n v="445"/>
    <n v="13.74"/>
    <n v="78000"/>
    <n v="183.98"/>
    <n v="2"/>
    <n v="21.43"/>
    <n v="2878"/>
    <n v="1045000"/>
    <n v="1045000"/>
    <n v="712884.96"/>
    <n v="862"/>
    <n v="676"/>
    <n v="862"/>
  </r>
  <r>
    <n v="20"/>
    <x v="7"/>
    <n v="1387"/>
    <s v="JANDERSON"/>
    <x v="2"/>
    <x v="0"/>
    <n v="55000"/>
    <n v="40"/>
    <n v="40"/>
    <n v="22482.38"/>
    <n v="17826.678429"/>
    <n v="0"/>
    <n v="20.71"/>
    <n v="47.33"/>
    <n v="419999.02"/>
    <n v="316673.86645799997"/>
    <n v="0"/>
    <n v="24.6"/>
    <n v="12"/>
    <n v="21"/>
    <n v="21"/>
    <n v="84"/>
    <n v="4.68"/>
    <n v="55000"/>
    <n v="0"/>
    <n v="0"/>
    <n v="33.020000000000003"/>
    <n v="2878"/>
    <n v="307000"/>
    <n v="307000"/>
    <n v="161835.67000000001"/>
    <n v="260"/>
    <n v="111"/>
    <n v="260"/>
  </r>
  <r>
    <n v="12"/>
    <x v="6"/>
    <n v="1390"/>
    <s v="ADINALVA"/>
    <x v="2"/>
    <x v="0"/>
    <n v="60000"/>
    <n v="60"/>
    <n v="60"/>
    <n v="12039.2"/>
    <n v="9356.8512699999992"/>
    <n v="0"/>
    <n v="22.28"/>
    <n v="16.28"/>
    <n v="341385.34"/>
    <n v="256949.644531"/>
    <n v="0"/>
    <n v="24.73"/>
    <n v="21"/>
    <n v="21"/>
    <n v="21"/>
    <n v="125"/>
    <n v="9.75"/>
    <n v="60000"/>
    <n v="208.8"/>
    <n v="0"/>
    <n v="29.95"/>
    <n v="2878"/>
    <n v="665000"/>
    <n v="665000"/>
    <n v="304209.8"/>
    <n v="750"/>
    <n v="397"/>
    <n v="750"/>
  </r>
  <r>
    <n v="26"/>
    <x v="4"/>
    <n v="1394"/>
    <s v="WENDERSON"/>
    <x v="2"/>
    <x v="0"/>
    <n v="52000"/>
    <n v="55"/>
    <n v="55"/>
    <n v="41593.83"/>
    <n v="31746.767792999999"/>
    <n v="0"/>
    <n v="23.67"/>
    <n v="19.84"/>
    <n v="1049577.82"/>
    <n v="799787.90072599996"/>
    <n v="0"/>
    <n v="23.8"/>
    <n v="56"/>
    <n v="21"/>
    <n v="21"/>
    <n v="230"/>
    <n v="7.37"/>
    <n v="52000"/>
    <n v="176.46"/>
    <n v="0"/>
    <n v="24.13"/>
    <n v="2878"/>
    <n v="968000"/>
    <n v="968000"/>
    <n v="884541.65"/>
    <n v="711"/>
    <n v="607"/>
    <n v="711"/>
  </r>
  <r>
    <n v="12"/>
    <x v="6"/>
    <n v="1402"/>
    <s v="CARLOS"/>
    <x v="2"/>
    <x v="0"/>
    <n v="52000"/>
    <n v="60"/>
    <n v="60"/>
    <n v="57547.34"/>
    <n v="41473.484848"/>
    <n v="0"/>
    <n v="27.93"/>
    <n v="20.95"/>
    <n v="341385.34"/>
    <n v="256949.644531"/>
    <n v="0"/>
    <n v="24.73"/>
    <n v="44"/>
    <n v="21"/>
    <n v="21"/>
    <n v="304"/>
    <n v="9.41"/>
    <n v="52000"/>
    <n v="3380.01"/>
    <n v="5"/>
    <n v="29.95"/>
    <n v="2878"/>
    <n v="665000"/>
    <n v="665000"/>
    <n v="304209.8"/>
    <n v="750"/>
    <n v="397"/>
    <n v="750"/>
  </r>
  <r>
    <n v="5"/>
    <x v="5"/>
    <n v="1404"/>
    <s v="NICOLY"/>
    <x v="2"/>
    <x v="0"/>
    <n v="30000"/>
    <n v="30"/>
    <n v="30"/>
    <n v="2846.32"/>
    <n v="2183.7075530000002"/>
    <n v="0"/>
    <n v="23.28"/>
    <n v="13.1"/>
    <n v="262785.44"/>
    <n v="201080.285252"/>
    <n v="0"/>
    <n v="23.48"/>
    <n v="4"/>
    <n v="21"/>
    <n v="21"/>
    <n v="61"/>
    <n v="13"/>
    <n v="30000"/>
    <n v="0"/>
    <n v="0"/>
    <n v="24.18"/>
    <n v="2878"/>
    <n v="450000"/>
    <n v="450000"/>
    <n v="299960.98"/>
    <n v="200"/>
    <n v="100"/>
    <n v="200"/>
  </r>
  <r>
    <n v="14"/>
    <x v="9"/>
    <n v="1413"/>
    <s v="DANILO"/>
    <x v="2"/>
    <x v="0"/>
    <n v="45000"/>
    <n v="40"/>
    <n v="40"/>
    <n v="4829.8900000000003"/>
    <n v="3847.9532330000002"/>
    <n v="0"/>
    <n v="20.329999999999998"/>
    <n v="40.22"/>
    <n v="83546.679999999993"/>
    <n v="58998.128599999996"/>
    <n v="0"/>
    <n v="29.38"/>
    <n v="4"/>
    <n v="21"/>
    <n v="21"/>
    <n v="40"/>
    <n v="4.5"/>
    <n v="45000"/>
    <n v="0"/>
    <n v="0"/>
    <n v="35.1"/>
    <n v="2878"/>
    <n v="45000"/>
    <n v="45000"/>
    <n v="7582.29"/>
    <n v="40"/>
    <n v="7"/>
    <n v="40"/>
  </r>
  <r>
    <n v="17"/>
    <x v="8"/>
    <n v="1431"/>
    <s v="MARCIO"/>
    <x v="2"/>
    <x v="0"/>
    <n v="45000"/>
    <n v="15"/>
    <n v="15"/>
    <n v="8613.6200000000008"/>
    <n v="6926.8991880000003"/>
    <n v="0"/>
    <n v="19.579999999999998"/>
    <n v="24.09"/>
    <n v="373950.57"/>
    <n v="266591.70954100002"/>
    <n v="0"/>
    <n v="28.71"/>
    <n v="4"/>
    <n v="21"/>
    <n v="21"/>
    <n v="73"/>
    <n v="6.29"/>
    <n v="45000"/>
    <n v="0"/>
    <n v="2"/>
    <n v="26"/>
    <n v="2878"/>
    <n v="615000"/>
    <n v="615000"/>
    <n v="383607.4"/>
    <n v="340"/>
    <n v="175"/>
    <n v="340"/>
  </r>
  <r>
    <n v="17"/>
    <x v="8"/>
    <n v="1437"/>
    <s v="CHRYSTIAN"/>
    <x v="2"/>
    <x v="0"/>
    <n v="95000"/>
    <n v="54"/>
    <n v="54"/>
    <n v="39232.54"/>
    <n v="28523.568722"/>
    <n v="0"/>
    <n v="27.3"/>
    <n v="25.77"/>
    <n v="373950.57"/>
    <n v="266591.70954100002"/>
    <n v="0"/>
    <n v="28.71"/>
    <n v="19"/>
    <n v="21"/>
    <n v="21"/>
    <n v="181"/>
    <n v="19.48"/>
    <n v="95000"/>
    <n v="0"/>
    <n v="0"/>
    <n v="26"/>
    <n v="2878"/>
    <n v="615000"/>
    <n v="615000"/>
    <n v="383607.4"/>
    <n v="340"/>
    <n v="175"/>
    <n v="340"/>
  </r>
  <r>
    <n v="10"/>
    <x v="1"/>
    <n v="1450"/>
    <s v="INGRID"/>
    <x v="2"/>
    <x v="0"/>
    <n v="75000"/>
    <n v="65"/>
    <n v="65"/>
    <n v="75237.88"/>
    <n v="56791.217257999997"/>
    <n v="0"/>
    <n v="24.52"/>
    <n v="22.34"/>
    <n v="0"/>
    <n v="0"/>
    <n v="0"/>
    <n v="0"/>
    <n v="72"/>
    <n v="21"/>
    <n v="21"/>
    <n v="668"/>
    <n v="19.79"/>
    <n v="75000"/>
    <n v="112.16"/>
    <n v="0"/>
    <n v="0"/>
    <n v="2878"/>
    <n v="631000"/>
    <n v="631000"/>
    <n v="388326.45"/>
    <n v="463"/>
    <n v="410"/>
    <n v="463"/>
  </r>
  <r>
    <n v="2"/>
    <x v="0"/>
    <n v="1457"/>
    <s v="JOSE"/>
    <x v="2"/>
    <x v="0"/>
    <n v="90000"/>
    <n v="69"/>
    <n v="69"/>
    <n v="65841.509999999995"/>
    <n v="50388.768092999999"/>
    <n v="0"/>
    <n v="23.47"/>
    <n v="28.15"/>
    <n v="846001.61"/>
    <n v="637404.95297400001"/>
    <n v="0"/>
    <n v="24.66"/>
    <n v="48"/>
    <n v="21"/>
    <n v="21"/>
    <n v="370"/>
    <n v="12.13"/>
    <n v="90000"/>
    <n v="2170.54"/>
    <n v="1"/>
    <n v="21.03"/>
    <n v="2878"/>
    <n v="1279000"/>
    <n v="1279000"/>
    <n v="817160.5"/>
    <n v="815"/>
    <n v="491"/>
    <n v="815"/>
  </r>
  <r>
    <n v="6"/>
    <x v="3"/>
    <n v="1466"/>
    <s v="ARTHUR"/>
    <x v="2"/>
    <x v="0"/>
    <n v="95000"/>
    <n v="78"/>
    <n v="78"/>
    <n v="95569.67"/>
    <n v="72482.074204000004"/>
    <n v="0"/>
    <n v="24.16"/>
    <n v="18.88"/>
    <n v="745236.54"/>
    <n v="557606.39015999995"/>
    <n v="0"/>
    <n v="25.18"/>
    <n v="78"/>
    <n v="21"/>
    <n v="21"/>
    <n v="561"/>
    <n v="12.3"/>
    <n v="95000"/>
    <n v="7571.86"/>
    <n v="1"/>
    <n v="21.43"/>
    <n v="2878"/>
    <n v="1045000"/>
    <n v="1045000"/>
    <n v="712884.96"/>
    <n v="862"/>
    <n v="676"/>
    <n v="862"/>
  </r>
  <r>
    <n v="4"/>
    <x v="2"/>
    <n v="1473"/>
    <s v="EDER"/>
    <x v="2"/>
    <x v="0"/>
    <n v="120000"/>
    <n v="80"/>
    <n v="80"/>
    <n v="50479.68"/>
    <n v="37107.244357000003"/>
    <n v="0"/>
    <n v="26.49"/>
    <n v="20.71"/>
    <n v="605747.14"/>
    <n v="440429.91221899999"/>
    <n v="0"/>
    <n v="27.29"/>
    <n v="47"/>
    <n v="21"/>
    <n v="21"/>
    <n v="407"/>
    <n v="14.22"/>
    <n v="120000"/>
    <n v="2793.55"/>
    <n v="1"/>
    <n v="22.14"/>
    <n v="2878"/>
    <n v="805000"/>
    <n v="805000"/>
    <n v="672054.7"/>
    <n v="523"/>
    <n v="450"/>
    <n v="523"/>
  </r>
  <r>
    <n v="17"/>
    <x v="8"/>
    <n v="1475"/>
    <s v="CARLOS"/>
    <x v="2"/>
    <x v="0"/>
    <n v="95000"/>
    <n v="54"/>
    <n v="54"/>
    <n v="84124.800000000003"/>
    <n v="59533.928436000002"/>
    <n v="0"/>
    <n v="29.23"/>
    <n v="21.03"/>
    <n v="373950.57"/>
    <n v="266591.70954100002"/>
    <n v="0"/>
    <n v="28.71"/>
    <n v="36"/>
    <n v="21"/>
    <n v="21"/>
    <n v="355"/>
    <n v="16.329999999999998"/>
    <n v="95000"/>
    <n v="0"/>
    <n v="0"/>
    <n v="26"/>
    <n v="2878"/>
    <n v="615000"/>
    <n v="615000"/>
    <n v="383607.4"/>
    <n v="340"/>
    <n v="175"/>
    <n v="340"/>
  </r>
  <r>
    <n v="10"/>
    <x v="1"/>
    <n v="1486"/>
    <s v="DHIEGO"/>
    <x v="2"/>
    <x v="0"/>
    <n v="45000"/>
    <n v="25"/>
    <n v="25"/>
    <n v="20646.150000000001"/>
    <n v="15363.968507"/>
    <n v="0"/>
    <n v="25.58"/>
    <n v="25.36"/>
    <n v="0"/>
    <n v="0"/>
    <n v="0"/>
    <n v="0"/>
    <n v="22"/>
    <n v="21"/>
    <n v="21"/>
    <n v="160"/>
    <n v="7.08"/>
    <n v="45000"/>
    <n v="0"/>
    <n v="1"/>
    <n v="0"/>
    <n v="2878"/>
    <n v="631000"/>
    <n v="631000"/>
    <n v="388326.45"/>
    <n v="463"/>
    <n v="410"/>
    <n v="463"/>
  </r>
  <r>
    <n v="20"/>
    <x v="7"/>
    <n v="1493"/>
    <s v="FABIO"/>
    <x v="2"/>
    <x v="0"/>
    <n v="46000"/>
    <n v="40"/>
    <n v="40"/>
    <n v="13516.3"/>
    <n v="9836.3607470000006"/>
    <n v="0"/>
    <n v="27.23"/>
    <n v="28.1"/>
    <n v="419999.02"/>
    <n v="316673.86645799997"/>
    <n v="0"/>
    <n v="24.6"/>
    <n v="16"/>
    <n v="21"/>
    <n v="21"/>
    <n v="76"/>
    <n v="7.5"/>
    <n v="46000"/>
    <n v="2500.8000000000002"/>
    <n v="1"/>
    <n v="33.020000000000003"/>
    <n v="2878"/>
    <n v="307000"/>
    <n v="307000"/>
    <n v="161835.67000000001"/>
    <n v="260"/>
    <n v="111"/>
    <n v="260"/>
  </r>
  <r>
    <n v="17"/>
    <x v="8"/>
    <n v="1497"/>
    <s v="ACSA"/>
    <x v="2"/>
    <x v="0"/>
    <n v="85000"/>
    <n v="36"/>
    <n v="36"/>
    <n v="59094.41"/>
    <n v="42082.970687000001"/>
    <n v="0"/>
    <n v="28.79"/>
    <n v="23.37"/>
    <n v="373950.57"/>
    <n v="266591.70954100002"/>
    <n v="0"/>
    <n v="28.71"/>
    <n v="27"/>
    <n v="21"/>
    <n v="21"/>
    <n v="436"/>
    <n v="22.74"/>
    <n v="85000"/>
    <n v="0"/>
    <n v="0"/>
    <n v="26"/>
    <n v="2878"/>
    <n v="615000"/>
    <n v="615000"/>
    <n v="383607.4"/>
    <n v="340"/>
    <n v="175"/>
    <n v="340"/>
  </r>
  <r>
    <n v="2"/>
    <x v="0"/>
    <n v="1505"/>
    <s v="BRUNA"/>
    <x v="2"/>
    <x v="0"/>
    <n v="80000"/>
    <n v="50"/>
    <n v="50"/>
    <n v="47068.98"/>
    <n v="35404.314516999999"/>
    <n v="0"/>
    <n v="24.78"/>
    <n v="21.54"/>
    <n v="846001.61"/>
    <n v="637404.95297400001"/>
    <n v="0"/>
    <n v="24.66"/>
    <n v="27"/>
    <n v="21"/>
    <n v="21"/>
    <n v="339"/>
    <n v="17.28"/>
    <n v="80000"/>
    <n v="87.91"/>
    <n v="1"/>
    <n v="21.03"/>
    <n v="2878"/>
    <n v="1279000"/>
    <n v="1279000"/>
    <n v="817160.5"/>
    <n v="815"/>
    <n v="491"/>
    <n v="815"/>
  </r>
  <r>
    <n v="4"/>
    <x v="2"/>
    <n v="1510"/>
    <s v="MAICON"/>
    <x v="2"/>
    <x v="0"/>
    <n v="45000"/>
    <n v="40"/>
    <n v="40"/>
    <n v="29088.71"/>
    <n v="20962.887621999998"/>
    <n v="0"/>
    <n v="27.93"/>
    <n v="34.9"/>
    <n v="605747.14"/>
    <n v="440429.91221899999"/>
    <n v="0"/>
    <n v="27.29"/>
    <n v="19"/>
    <n v="21"/>
    <n v="21"/>
    <n v="143"/>
    <n v="7.92"/>
    <n v="45000"/>
    <n v="940.68"/>
    <n v="3"/>
    <n v="22.14"/>
    <n v="2878"/>
    <n v="805000"/>
    <n v="805000"/>
    <n v="672054.7"/>
    <n v="523"/>
    <n v="450"/>
    <n v="523"/>
  </r>
  <r>
    <n v="4"/>
    <x v="2"/>
    <n v="1522"/>
    <s v="MARCIA"/>
    <x v="2"/>
    <x v="0"/>
    <n v="50000"/>
    <n v="1"/>
    <n v="1"/>
    <n v="47604.639999999999"/>
    <n v="34924.741677999999"/>
    <n v="0"/>
    <n v="26.64"/>
    <n v="27.72"/>
    <n v="605747.14"/>
    <n v="440429.91221899999"/>
    <n v="0"/>
    <n v="27.29"/>
    <n v="1"/>
    <n v="21"/>
    <n v="21"/>
    <n v="97"/>
    <n v="21.2"/>
    <n v="50000"/>
    <n v="3120.98"/>
    <n v="0"/>
    <n v="22.14"/>
    <n v="2878"/>
    <n v="805000"/>
    <n v="805000"/>
    <n v="672054.7"/>
    <n v="523"/>
    <n v="450"/>
    <n v="523"/>
  </r>
  <r>
    <n v="26"/>
    <x v="4"/>
    <n v="1527"/>
    <s v="JOSE"/>
    <x v="2"/>
    <x v="0"/>
    <n v="46000"/>
    <n v="40"/>
    <n v="40"/>
    <n v="29734.639999999999"/>
    <n v="22316.556794"/>
    <n v="0"/>
    <n v="24.95"/>
    <n v="23.78"/>
    <n v="1049577.82"/>
    <n v="799787.90072599996"/>
    <n v="0"/>
    <n v="23.8"/>
    <n v="28"/>
    <n v="21"/>
    <n v="21"/>
    <n v="159"/>
    <n v="6.24"/>
    <n v="46000"/>
    <n v="1517.11"/>
    <n v="5"/>
    <n v="24.13"/>
    <n v="2878"/>
    <n v="968000"/>
    <n v="968000"/>
    <n v="884541.65"/>
    <n v="711"/>
    <n v="607"/>
    <n v="711"/>
  </r>
  <r>
    <n v="26"/>
    <x v="4"/>
    <n v="1535"/>
    <s v="ALAN"/>
    <x v="2"/>
    <x v="0"/>
    <n v="46000"/>
    <n v="40"/>
    <n v="40"/>
    <n v="19920.400000000001"/>
    <n v="15459.044567000001"/>
    <n v="0"/>
    <n v="22.4"/>
    <n v="18.13"/>
    <n v="1049577.82"/>
    <n v="799787.90072599996"/>
    <n v="0"/>
    <n v="23.8"/>
    <n v="28"/>
    <n v="21"/>
    <n v="21"/>
    <n v="95"/>
    <n v="4.5199999999999996"/>
    <n v="46000"/>
    <n v="0"/>
    <n v="2"/>
    <n v="24.13"/>
    <n v="2878"/>
    <n v="968000"/>
    <n v="968000"/>
    <n v="884541.65"/>
    <n v="711"/>
    <n v="607"/>
    <n v="711"/>
  </r>
  <r>
    <n v="2"/>
    <x v="0"/>
    <n v="1553"/>
    <s v="JORGE"/>
    <x v="2"/>
    <x v="0"/>
    <n v="50000"/>
    <n v="40"/>
    <n v="40"/>
    <n v="45903.15"/>
    <n v="33864.975511999997"/>
    <n v="0"/>
    <n v="26.23"/>
    <n v="52.89"/>
    <n v="846001.61"/>
    <n v="637404.95297400001"/>
    <n v="0"/>
    <n v="24.66"/>
    <n v="21"/>
    <n v="21"/>
    <n v="21"/>
    <n v="128"/>
    <n v="7.19"/>
    <n v="50000"/>
    <n v="903.27"/>
    <n v="0"/>
    <n v="21.03"/>
    <n v="2878"/>
    <n v="1279000"/>
    <n v="1279000"/>
    <n v="817160.5"/>
    <n v="815"/>
    <n v="491"/>
    <n v="815"/>
  </r>
  <r>
    <n v="4"/>
    <x v="2"/>
    <n v="1557"/>
    <s v="ALEXSANDRA"/>
    <x v="2"/>
    <x v="0"/>
    <n v="115000"/>
    <n v="78"/>
    <n v="78"/>
    <n v="116589.71"/>
    <n v="83123.959833999994"/>
    <n v="0"/>
    <n v="28.7"/>
    <n v="22.89"/>
    <n v="605747.14"/>
    <n v="440429.91221899999"/>
    <n v="0"/>
    <n v="27.29"/>
    <n v="85"/>
    <n v="21"/>
    <n v="21"/>
    <n v="531"/>
    <n v="17.48"/>
    <n v="115000"/>
    <n v="0"/>
    <n v="2"/>
    <n v="22.14"/>
    <n v="2878"/>
    <n v="805000"/>
    <n v="805000"/>
    <n v="672054.7"/>
    <n v="523"/>
    <n v="450"/>
    <n v="523"/>
  </r>
  <r>
    <n v="4"/>
    <x v="2"/>
    <n v="1558"/>
    <s v="JEFFERSON"/>
    <x v="2"/>
    <x v="0"/>
    <n v="80000"/>
    <n v="60"/>
    <n v="60"/>
    <n v="69949.36"/>
    <n v="50644.485054999997"/>
    <n v="0"/>
    <n v="27.6"/>
    <n v="23.38"/>
    <n v="605747.14"/>
    <n v="440429.91221899999"/>
    <n v="0"/>
    <n v="27.29"/>
    <n v="54"/>
    <n v="21"/>
    <n v="21"/>
    <n v="324"/>
    <n v="12.27"/>
    <n v="80000"/>
    <n v="0"/>
    <n v="2"/>
    <n v="22.14"/>
    <n v="2878"/>
    <n v="805000"/>
    <n v="805000"/>
    <n v="672054.7"/>
    <n v="523"/>
    <n v="450"/>
    <n v="523"/>
  </r>
  <r>
    <n v="4"/>
    <x v="2"/>
    <n v="1559"/>
    <s v="LUAN"/>
    <x v="2"/>
    <x v="0"/>
    <n v="60000"/>
    <n v="40"/>
    <n v="40"/>
    <n v="60712.46"/>
    <n v="45081.421381"/>
    <n v="0"/>
    <n v="25.75"/>
    <n v="19.2"/>
    <n v="605747.14"/>
    <n v="440429.91221899999"/>
    <n v="0"/>
    <n v="27.29"/>
    <n v="44"/>
    <n v="21"/>
    <n v="21"/>
    <n v="530"/>
    <n v="16.03"/>
    <n v="60000"/>
    <n v="27.58"/>
    <n v="0"/>
    <n v="22.14"/>
    <n v="2878"/>
    <n v="805000"/>
    <n v="805000"/>
    <n v="672054.7"/>
    <n v="523"/>
    <n v="450"/>
    <n v="523"/>
  </r>
  <r>
    <n v="2"/>
    <x v="0"/>
    <n v="1561"/>
    <s v="NAZARENO"/>
    <x v="2"/>
    <x v="0"/>
    <n v="0"/>
    <n v="0"/>
    <n v="0"/>
    <n v="307.8"/>
    <n v="231.339528"/>
    <n v="0"/>
    <n v="24.84"/>
    <n v="21"/>
    <n v="846001.61"/>
    <n v="637404.95297400001"/>
    <n v="0"/>
    <n v="24.66"/>
    <n v="1"/>
    <n v="21"/>
    <n v="21"/>
    <n v="5"/>
    <n v="5"/>
    <n v="0"/>
    <n v="13094.41"/>
    <n v="0"/>
    <n v="21.03"/>
    <n v="2878"/>
    <n v="1279000"/>
    <n v="1279000"/>
    <n v="817160.5"/>
    <n v="815"/>
    <n v="491"/>
    <n v="815"/>
  </r>
  <r>
    <n v="26"/>
    <x v="4"/>
    <n v="1565"/>
    <s v="FRANCIELE"/>
    <x v="2"/>
    <x v="0"/>
    <n v="40000"/>
    <n v="1"/>
    <n v="1"/>
    <n v="15625.02"/>
    <n v="11780.327810000001"/>
    <n v="0"/>
    <n v="24.61"/>
    <n v="44.72"/>
    <n v="1049577.82"/>
    <n v="799787.90072599996"/>
    <n v="0"/>
    <n v="23.8"/>
    <n v="1"/>
    <n v="21"/>
    <n v="21"/>
    <n v="47"/>
    <n v="11.75"/>
    <n v="40000"/>
    <n v="0"/>
    <n v="0"/>
    <n v="24.13"/>
    <n v="2878"/>
    <n v="968000"/>
    <n v="968000"/>
    <n v="884541.65"/>
    <n v="711"/>
    <n v="607"/>
    <n v="711"/>
  </r>
  <r>
    <n v="14"/>
    <x v="9"/>
    <n v="1574"/>
    <s v="BRUNO"/>
    <x v="2"/>
    <x v="0"/>
    <n v="0"/>
    <n v="0"/>
    <n v="0"/>
    <n v="2752.4"/>
    <n v="1857.3494290000001"/>
    <n v="0"/>
    <n v="32.520000000000003"/>
    <n v="46.86"/>
    <n v="83546.679999999993"/>
    <n v="58998.128599999996"/>
    <n v="0"/>
    <n v="29.38"/>
    <n v="3"/>
    <n v="21"/>
    <n v="21"/>
    <n v="16"/>
    <n v="5.33"/>
    <n v="0"/>
    <n v="1440"/>
    <n v="0"/>
    <n v="35.1"/>
    <n v="2878"/>
    <n v="45000"/>
    <n v="45000"/>
    <n v="7582.29"/>
    <n v="40"/>
    <n v="7"/>
    <n v="40"/>
  </r>
  <r>
    <n v="12"/>
    <x v="6"/>
    <n v="1577"/>
    <s v="RICARDO"/>
    <x v="2"/>
    <x v="0"/>
    <n v="51000"/>
    <n v="60"/>
    <n v="60"/>
    <n v="4898.21"/>
    <n v="3677.0290650000002"/>
    <n v="0"/>
    <n v="24.93"/>
    <n v="13.89"/>
    <n v="341385.34"/>
    <n v="256949.644531"/>
    <n v="0"/>
    <n v="24.73"/>
    <n v="14"/>
    <n v="21"/>
    <n v="21"/>
    <n v="64"/>
    <n v="7.36"/>
    <n v="51000"/>
    <n v="301.48"/>
    <n v="0"/>
    <n v="29.95"/>
    <n v="2878"/>
    <n v="665000"/>
    <n v="665000"/>
    <n v="304209.8"/>
    <n v="750"/>
    <n v="397"/>
    <n v="750"/>
  </r>
  <r>
    <n v="12"/>
    <x v="6"/>
    <n v="1582"/>
    <s v="KEYLLA"/>
    <x v="2"/>
    <x v="0"/>
    <n v="51000"/>
    <n v="60"/>
    <n v="60"/>
    <n v="43032.87"/>
    <n v="32533.730894"/>
    <n v="0"/>
    <n v="24.4"/>
    <n v="19.88"/>
    <n v="341385.34"/>
    <n v="256949.644531"/>
    <n v="0"/>
    <n v="24.73"/>
    <n v="56"/>
    <n v="21"/>
    <n v="21"/>
    <n v="238"/>
    <n v="9.08"/>
    <n v="51000"/>
    <n v="571.79"/>
    <n v="4"/>
    <n v="29.95"/>
    <n v="2878"/>
    <n v="665000"/>
    <n v="665000"/>
    <n v="304209.8"/>
    <n v="750"/>
    <n v="397"/>
    <n v="750"/>
  </r>
  <r>
    <n v="4"/>
    <x v="2"/>
    <n v="1583"/>
    <s v="RAUL"/>
    <x v="2"/>
    <x v="0"/>
    <n v="45000"/>
    <n v="40"/>
    <n v="40"/>
    <n v="21218.13"/>
    <n v="15382.393418"/>
    <n v="0"/>
    <n v="27.5"/>
    <n v="31.68"/>
    <n v="605747.14"/>
    <n v="440429.91221899999"/>
    <n v="0"/>
    <n v="27.29"/>
    <n v="21"/>
    <n v="21"/>
    <n v="21"/>
    <n v="91"/>
    <n v="5.08"/>
    <n v="45000"/>
    <n v="265.83999999999997"/>
    <n v="1"/>
    <n v="22.14"/>
    <n v="2878"/>
    <n v="805000"/>
    <n v="805000"/>
    <n v="672054.7"/>
    <n v="523"/>
    <n v="450"/>
    <n v="523"/>
  </r>
  <r>
    <n v="6"/>
    <x v="3"/>
    <n v="1585"/>
    <s v="FABIO"/>
    <x v="2"/>
    <x v="0"/>
    <n v="50000"/>
    <n v="45"/>
    <n v="45"/>
    <n v="29175.24"/>
    <n v="21476.064376999999"/>
    <n v="0"/>
    <n v="26.39"/>
    <n v="19.03"/>
    <n v="745236.54"/>
    <n v="557606.39015999995"/>
    <n v="0"/>
    <n v="25.18"/>
    <n v="34"/>
    <n v="21"/>
    <n v="21"/>
    <n v="266"/>
    <n v="11.59"/>
    <n v="50000"/>
    <n v="348.65"/>
    <n v="1"/>
    <n v="21.43"/>
    <n v="2878"/>
    <n v="1045000"/>
    <n v="1045000"/>
    <n v="712884.96"/>
    <n v="862"/>
    <n v="676"/>
    <n v="862"/>
  </r>
  <r>
    <n v="12"/>
    <x v="6"/>
    <n v="1586"/>
    <s v="JORGE"/>
    <x v="2"/>
    <x v="0"/>
    <n v="51000"/>
    <n v="60"/>
    <n v="60"/>
    <n v="6765.67"/>
    <n v="5228.3805339999999"/>
    <n v="0"/>
    <n v="22.72"/>
    <n v="4.76"/>
    <n v="341385.34"/>
    <n v="256949.644531"/>
    <n v="0"/>
    <n v="24.73"/>
    <n v="16"/>
    <n v="21"/>
    <n v="21"/>
    <n v="55"/>
    <n v="6.5"/>
    <n v="51000"/>
    <n v="750.99"/>
    <n v="0"/>
    <n v="29.95"/>
    <n v="2878"/>
    <n v="665000"/>
    <n v="665000"/>
    <n v="304209.8"/>
    <n v="750"/>
    <n v="397"/>
    <n v="750"/>
  </r>
  <r>
    <n v="6"/>
    <x v="3"/>
    <n v="1587"/>
    <s v="KELLY"/>
    <x v="2"/>
    <x v="0"/>
    <n v="50000"/>
    <n v="50"/>
    <n v="50"/>
    <n v="24513.48"/>
    <n v="18476.309345999998"/>
    <n v="0"/>
    <n v="24.63"/>
    <n v="20.29"/>
    <n v="745236.54"/>
    <n v="557606.39015999995"/>
    <n v="0"/>
    <n v="25.18"/>
    <n v="30"/>
    <n v="21"/>
    <n v="21"/>
    <n v="153"/>
    <n v="8.65"/>
    <n v="50000"/>
    <n v="1662.91"/>
    <n v="0"/>
    <n v="21.43"/>
    <n v="2878"/>
    <n v="1045000"/>
    <n v="1045000"/>
    <n v="712884.96"/>
    <n v="862"/>
    <n v="676"/>
    <n v="862"/>
  </r>
  <r>
    <n v="10"/>
    <x v="1"/>
    <n v="1589"/>
    <s v="VITOR"/>
    <x v="2"/>
    <x v="0"/>
    <n v="46000"/>
    <n v="40"/>
    <n v="40"/>
    <n v="11657.96"/>
    <n v="8700.7762559999992"/>
    <n v="0"/>
    <n v="25.37"/>
    <n v="39.28"/>
    <n v="0"/>
    <n v="0"/>
    <n v="0"/>
    <n v="0"/>
    <n v="9"/>
    <n v="21"/>
    <n v="21"/>
    <n v="87"/>
    <n v="8.82"/>
    <n v="46000"/>
    <n v="0"/>
    <n v="0"/>
    <n v="0"/>
    <n v="2878"/>
    <n v="631000"/>
    <n v="631000"/>
    <n v="388326.45"/>
    <n v="463"/>
    <n v="410"/>
    <n v="463"/>
  </r>
  <r>
    <n v="20"/>
    <x v="7"/>
    <n v="1590"/>
    <s v="CARLOS"/>
    <x v="2"/>
    <x v="0"/>
    <n v="46000"/>
    <n v="40"/>
    <n v="40"/>
    <n v="43727.11"/>
    <n v="32685.550991"/>
    <n v="0"/>
    <n v="25.25"/>
    <n v="51.5"/>
    <n v="419999.02"/>
    <n v="316673.86645799997"/>
    <n v="0"/>
    <n v="24.6"/>
    <n v="13"/>
    <n v="21"/>
    <n v="21"/>
    <n v="82"/>
    <n v="5.88"/>
    <n v="46000"/>
    <n v="82.88"/>
    <n v="2"/>
    <n v="33.020000000000003"/>
    <n v="2878"/>
    <n v="307000"/>
    <n v="307000"/>
    <n v="161835.67000000001"/>
    <n v="260"/>
    <n v="111"/>
    <n v="260"/>
  </r>
  <r>
    <n v="10"/>
    <x v="1"/>
    <n v="1591"/>
    <s v="ELRIK"/>
    <x v="2"/>
    <x v="0"/>
    <n v="70000"/>
    <n v="50"/>
    <n v="50"/>
    <n v="28781.35"/>
    <n v="21670.808722999998"/>
    <n v="0"/>
    <n v="24.71"/>
    <n v="18.71"/>
    <n v="0"/>
    <n v="0"/>
    <n v="0"/>
    <n v="0"/>
    <n v="35"/>
    <n v="21"/>
    <n v="21"/>
    <n v="337"/>
    <n v="13.6"/>
    <n v="70000"/>
    <n v="422.15"/>
    <n v="1"/>
    <n v="0"/>
    <n v="2878"/>
    <n v="631000"/>
    <n v="631000"/>
    <n v="388326.45"/>
    <n v="463"/>
    <n v="410"/>
    <n v="463"/>
  </r>
  <r>
    <n v="5"/>
    <x v="5"/>
    <n v="1593"/>
    <s v="DAIZA"/>
    <x v="2"/>
    <x v="0"/>
    <n v="120000"/>
    <n v="50"/>
    <n v="50"/>
    <n v="117652.5"/>
    <n v="88094.441239000007"/>
    <n v="0"/>
    <n v="25.12"/>
    <n v="34.53"/>
    <n v="262785.44"/>
    <n v="201080.285252"/>
    <n v="0"/>
    <n v="23.48"/>
    <n v="52"/>
    <n v="21"/>
    <n v="21"/>
    <n v="519"/>
    <n v="11.34"/>
    <n v="120000"/>
    <n v="0"/>
    <n v="0"/>
    <n v="24.18"/>
    <n v="2878"/>
    <n v="450000"/>
    <n v="450000"/>
    <n v="299960.98"/>
    <n v="200"/>
    <n v="100"/>
    <n v="200"/>
  </r>
  <r>
    <n v="12"/>
    <x v="6"/>
    <n v="1594"/>
    <s v="EDILENE"/>
    <x v="2"/>
    <x v="0"/>
    <n v="50000"/>
    <n v="60"/>
    <n v="60"/>
    <n v="28994.880000000001"/>
    <n v="21578.890558999999"/>
    <n v="0"/>
    <n v="25.58"/>
    <n v="16.82"/>
    <n v="341385.34"/>
    <n v="256949.644531"/>
    <n v="0"/>
    <n v="24.73"/>
    <n v="33"/>
    <n v="21"/>
    <n v="21"/>
    <n v="220"/>
    <n v="9.26"/>
    <n v="50000"/>
    <n v="6563.41"/>
    <n v="4"/>
    <n v="29.95"/>
    <n v="2878"/>
    <n v="665000"/>
    <n v="665000"/>
    <n v="304209.8"/>
    <n v="750"/>
    <n v="397"/>
    <n v="750"/>
  </r>
  <r>
    <n v="17"/>
    <x v="8"/>
    <n v="1596"/>
    <s v="HEDERSON"/>
    <x v="2"/>
    <x v="0"/>
    <n v="45000"/>
    <n v="40"/>
    <n v="40"/>
    <n v="9656.83"/>
    <n v="6308.1885620000003"/>
    <n v="0"/>
    <n v="34.68"/>
    <n v="45.29"/>
    <n v="373950.57"/>
    <n v="266591.70954100002"/>
    <n v="0"/>
    <n v="28.71"/>
    <n v="6"/>
    <n v="21"/>
    <n v="21"/>
    <n v="45"/>
    <n v="9"/>
    <n v="45000"/>
    <n v="0"/>
    <n v="0"/>
    <n v="26"/>
    <n v="2878"/>
    <n v="615000"/>
    <n v="615000"/>
    <n v="383607.4"/>
    <n v="340"/>
    <n v="175"/>
    <n v="340"/>
  </r>
  <r>
    <n v="20"/>
    <x v="7"/>
    <n v="1597"/>
    <s v="ROSINELIO"/>
    <x v="2"/>
    <x v="0"/>
    <n v="47000"/>
    <n v="40"/>
    <n v="40"/>
    <n v="45528.2"/>
    <n v="33398.067445000001"/>
    <n v="0"/>
    <n v="26.64"/>
    <n v="30.99"/>
    <n v="419999.02"/>
    <n v="316673.86645799997"/>
    <n v="0"/>
    <n v="24.6"/>
    <n v="44"/>
    <n v="21"/>
    <n v="21"/>
    <n v="256"/>
    <n v="7.63"/>
    <n v="47000"/>
    <n v="1788.31"/>
    <n v="5"/>
    <n v="33.020000000000003"/>
    <n v="2878"/>
    <n v="307000"/>
    <n v="307000"/>
    <n v="161835.67000000001"/>
    <n v="260"/>
    <n v="111"/>
    <n v="260"/>
  </r>
  <r>
    <n v="2"/>
    <x v="0"/>
    <n v="1598"/>
    <s v="THIAGO"/>
    <x v="2"/>
    <x v="0"/>
    <n v="90000"/>
    <n v="62"/>
    <n v="62"/>
    <n v="68274.289999999994"/>
    <n v="51376.316816999999"/>
    <n v="0"/>
    <n v="24.75"/>
    <n v="15.36"/>
    <n v="846001.61"/>
    <n v="637404.95297400001"/>
    <n v="0"/>
    <n v="24.66"/>
    <n v="68"/>
    <n v="21"/>
    <n v="21"/>
    <n v="507"/>
    <n v="13.05"/>
    <n v="90000"/>
    <n v="2797.69"/>
    <n v="0"/>
    <n v="21.03"/>
    <n v="2878"/>
    <n v="1279000"/>
    <n v="1279000"/>
    <n v="817160.5"/>
    <n v="815"/>
    <n v="491"/>
    <n v="815"/>
  </r>
  <r>
    <n v="20"/>
    <x v="7"/>
    <n v="1599"/>
    <s v="ALEXANDRE"/>
    <x v="2"/>
    <x v="0"/>
    <n v="46000"/>
    <n v="40"/>
    <n v="40"/>
    <n v="27157.48"/>
    <n v="20404.796951"/>
    <n v="0"/>
    <n v="24.86"/>
    <n v="38.32"/>
    <n v="419999.02"/>
    <n v="316673.86645799997"/>
    <n v="0"/>
    <n v="24.6"/>
    <n v="20"/>
    <n v="21"/>
    <n v="21"/>
    <n v="134"/>
    <n v="7.08"/>
    <n v="46000"/>
    <n v="17.54"/>
    <n v="7"/>
    <n v="33.020000000000003"/>
    <n v="2878"/>
    <n v="307000"/>
    <n v="307000"/>
    <n v="161835.67000000001"/>
    <n v="260"/>
    <n v="111"/>
    <n v="260"/>
  </r>
  <r>
    <n v="17"/>
    <x v="8"/>
    <n v="1600"/>
    <s v="WENDERSON"/>
    <x v="2"/>
    <x v="0"/>
    <n v="50000"/>
    <n v="40"/>
    <n v="40"/>
    <n v="29249.15"/>
    <n v="21957.995051999998"/>
    <n v="0"/>
    <n v="24.93"/>
    <n v="50"/>
    <n v="373950.57"/>
    <n v="266591.70954100002"/>
    <n v="0"/>
    <n v="28.71"/>
    <n v="10"/>
    <n v="21"/>
    <n v="21"/>
    <n v="88"/>
    <n v="8.83"/>
    <n v="50000"/>
    <n v="0"/>
    <n v="1"/>
    <n v="26"/>
    <n v="2878"/>
    <n v="615000"/>
    <n v="615000"/>
    <n v="383607.4"/>
    <n v="340"/>
    <n v="175"/>
    <n v="340"/>
  </r>
  <r>
    <n v="17"/>
    <x v="8"/>
    <n v="1601"/>
    <s v="ALIDA"/>
    <x v="2"/>
    <x v="0"/>
    <n v="30000"/>
    <n v="20"/>
    <n v="20"/>
    <n v="28128.13"/>
    <n v="19574.609873000001"/>
    <n v="0"/>
    <n v="30.41"/>
    <n v="26.73"/>
    <n v="373950.57"/>
    <n v="266591.70954100002"/>
    <n v="0"/>
    <n v="28.71"/>
    <n v="17"/>
    <n v="21"/>
    <n v="21"/>
    <n v="202"/>
    <n v="16.63"/>
    <n v="30000"/>
    <n v="0"/>
    <n v="1"/>
    <n v="26"/>
    <n v="2878"/>
    <n v="615000"/>
    <n v="615000"/>
    <n v="383607.4"/>
    <n v="340"/>
    <n v="175"/>
    <n v="340"/>
  </r>
  <r>
    <n v="6"/>
    <x v="3"/>
    <n v="1602"/>
    <s v="ERIC"/>
    <x v="2"/>
    <x v="0"/>
    <n v="25000"/>
    <n v="20"/>
    <n v="20"/>
    <n v="1523.69"/>
    <n v="1111.4457050000001"/>
    <n v="0"/>
    <n v="27.06"/>
    <n v="10.78"/>
    <n v="745236.54"/>
    <n v="557606.39015999995"/>
    <n v="0"/>
    <n v="25.18"/>
    <n v="3"/>
    <n v="21"/>
    <n v="21"/>
    <n v="25"/>
    <n v="8.33"/>
    <n v="25000"/>
    <n v="0"/>
    <n v="0"/>
    <n v="21.43"/>
    <n v="2878"/>
    <n v="1045000"/>
    <n v="1045000"/>
    <n v="712884.96"/>
    <n v="862"/>
    <n v="676"/>
    <n v="862"/>
  </r>
  <r>
    <n v="4"/>
    <x v="2"/>
    <n v="1604"/>
    <s v="GLEYBSON"/>
    <x v="2"/>
    <x v="0"/>
    <n v="25000"/>
    <n v="20"/>
    <n v="20"/>
    <n v="16000.72"/>
    <n v="10639.356336000001"/>
    <n v="0"/>
    <n v="33.51"/>
    <n v="30.04"/>
    <n v="605747.14"/>
    <n v="440429.91221899999"/>
    <n v="0"/>
    <n v="27.29"/>
    <n v="18"/>
    <n v="21"/>
    <n v="21"/>
    <n v="116"/>
    <n v="8.11"/>
    <n v="25000"/>
    <n v="0"/>
    <n v="0"/>
    <n v="22.14"/>
    <n v="2878"/>
    <n v="805000"/>
    <n v="805000"/>
    <n v="672054.7"/>
    <n v="523"/>
    <n v="450"/>
    <n v="523"/>
  </r>
  <r>
    <n v="10"/>
    <x v="1"/>
    <n v="1605"/>
    <s v="SARA"/>
    <x v="2"/>
    <x v="0"/>
    <n v="70000"/>
    <n v="38"/>
    <n v="38"/>
    <n v="49820.24"/>
    <n v="36394.170365999998"/>
    <n v="0"/>
    <n v="26.95"/>
    <n v="33.04"/>
    <n v="0"/>
    <n v="0"/>
    <n v="0"/>
    <n v="0"/>
    <n v="41"/>
    <n v="21"/>
    <n v="21"/>
    <n v="201"/>
    <n v="10.56"/>
    <n v="70000"/>
    <n v="29.06"/>
    <n v="1"/>
    <n v="0"/>
    <n v="2878"/>
    <n v="631000"/>
    <n v="631000"/>
    <n v="388326.45"/>
    <n v="463"/>
    <n v="410"/>
    <n v="463"/>
  </r>
  <r>
    <n v="5"/>
    <x v="5"/>
    <n v="1606"/>
    <s v="WELLINGTON"/>
    <x v="2"/>
    <x v="0"/>
    <n v="35000"/>
    <n v="40"/>
    <n v="40"/>
    <n v="3646.01"/>
    <n v="2672.4997330000001"/>
    <n v="0"/>
    <n v="26.7"/>
    <n v="8.9600000000000009"/>
    <n v="262785.44"/>
    <n v="201080.285252"/>
    <n v="0"/>
    <n v="23.48"/>
    <n v="8"/>
    <n v="21"/>
    <n v="21"/>
    <n v="57"/>
    <n v="7.78"/>
    <n v="35000"/>
    <n v="40.56"/>
    <n v="0"/>
    <n v="24.18"/>
    <n v="2878"/>
    <n v="450000"/>
    <n v="450000"/>
    <n v="299960.98"/>
    <n v="200"/>
    <n v="100"/>
    <n v="200"/>
  </r>
  <r>
    <n v="17"/>
    <x v="8"/>
    <n v="1607"/>
    <s v="IVANEI"/>
    <x v="2"/>
    <x v="0"/>
    <n v="25000"/>
    <n v="25"/>
    <n v="25"/>
    <n v="3703.47"/>
    <n v="2660.795552"/>
    <n v="0"/>
    <n v="28.15"/>
    <n v="21"/>
    <n v="373950.57"/>
    <n v="266591.70954100002"/>
    <n v="0"/>
    <n v="28.71"/>
    <n v="4"/>
    <n v="21"/>
    <n v="21"/>
    <n v="45"/>
    <n v="11.25"/>
    <n v="25000"/>
    <n v="0"/>
    <n v="0"/>
    <n v="26"/>
    <n v="2878"/>
    <n v="615000"/>
    <n v="615000"/>
    <n v="383607.4"/>
    <n v="340"/>
    <n v="175"/>
    <n v="340"/>
  </r>
  <r>
    <n v="2"/>
    <x v="0"/>
    <n v="28"/>
    <s v="RAIMUNDO"/>
    <x v="3"/>
    <x v="0"/>
    <n v="158000"/>
    <n v="117"/>
    <n v="117"/>
    <n v="0"/>
    <n v="3657.2869190000001"/>
    <n v="0"/>
    <n v="0"/>
    <n v="1"/>
    <n v="1080228.3700000001"/>
    <n v="810319.896007"/>
    <n v="0"/>
    <n v="24.99"/>
    <n v="0"/>
    <n v="22"/>
    <n v="22"/>
    <n v="31"/>
    <n v="1.43"/>
    <n v="158000"/>
    <n v="0"/>
    <n v="0"/>
    <n v="21.61"/>
    <n v="2648"/>
    <n v="1126000"/>
    <n v="1126000"/>
    <n v="949839.12"/>
    <n v="760"/>
    <n v="477"/>
    <n v="760"/>
  </r>
  <r>
    <n v="10"/>
    <x v="1"/>
    <n v="314"/>
    <s v="JOSE"/>
    <x v="3"/>
    <x v="0"/>
    <n v="90000"/>
    <n v="65"/>
    <n v="65"/>
    <n v="68653.86"/>
    <n v="51172.691554999998"/>
    <n v="0"/>
    <n v="25.46"/>
    <n v="19.739999999999998"/>
    <n v="0"/>
    <n v="0"/>
    <n v="0"/>
    <n v="0"/>
    <n v="75"/>
    <n v="22"/>
    <n v="22"/>
    <n v="309"/>
    <n v="7.85"/>
    <n v="90000"/>
    <n v="665.55"/>
    <n v="4"/>
    <n v="0"/>
    <n v="2648"/>
    <n v="610000"/>
    <n v="610000"/>
    <n v="494578.26"/>
    <n v="471"/>
    <n v="461"/>
    <n v="471"/>
  </r>
  <r>
    <n v="4"/>
    <x v="2"/>
    <n v="374"/>
    <s v="EDVALDO"/>
    <x v="3"/>
    <x v="0"/>
    <n v="132000"/>
    <n v="80"/>
    <n v="80"/>
    <n v="1476"/>
    <n v="2357.7985349999999"/>
    <n v="0"/>
    <n v="-59.74"/>
    <n v="15.54"/>
    <n v="519906.67"/>
    <n v="377617.25475399999"/>
    <n v="0"/>
    <n v="27.37"/>
    <n v="1"/>
    <n v="22"/>
    <n v="22"/>
    <n v="26"/>
    <n v="1.38"/>
    <n v="132000"/>
    <n v="0"/>
    <n v="1"/>
    <n v="24.16"/>
    <n v="2648"/>
    <n v="721000"/>
    <n v="721000"/>
    <n v="519906.67"/>
    <n v="463"/>
    <n v="327"/>
    <n v="463"/>
  </r>
  <r>
    <n v="2"/>
    <x v="0"/>
    <n v="423"/>
    <s v="LENIVAL"/>
    <x v="3"/>
    <x v="0"/>
    <n v="100000"/>
    <n v="70"/>
    <n v="70"/>
    <n v="103378.62"/>
    <n v="75291.815705999994"/>
    <n v="0"/>
    <n v="27.17"/>
    <n v="16.93"/>
    <n v="1080228.3700000001"/>
    <n v="810319.896007"/>
    <n v="0"/>
    <n v="24.99"/>
    <n v="52"/>
    <n v="22"/>
    <n v="22"/>
    <n v="379"/>
    <n v="11.28"/>
    <n v="100000"/>
    <n v="404.99"/>
    <n v="1"/>
    <n v="21.61"/>
    <n v="2648"/>
    <n v="1126000"/>
    <n v="1126000"/>
    <n v="949839.12"/>
    <n v="760"/>
    <n v="477"/>
    <n v="760"/>
  </r>
  <r>
    <n v="6"/>
    <x v="3"/>
    <n v="465"/>
    <s v="FELIPE"/>
    <x v="3"/>
    <x v="0"/>
    <n v="85000"/>
    <n v="82"/>
    <n v="82"/>
    <n v="87853.3"/>
    <n v="66350.727528999996"/>
    <n v="0"/>
    <n v="24.48"/>
    <n v="17.45"/>
    <n v="799790.07999999996"/>
    <n v="605664.57214599999"/>
    <n v="0"/>
    <n v="24.27"/>
    <n v="72"/>
    <n v="22"/>
    <n v="22"/>
    <n v="221"/>
    <n v="7.64"/>
    <n v="85000"/>
    <n v="0"/>
    <n v="1"/>
    <n v="20.43"/>
    <n v="2648"/>
    <n v="1006000"/>
    <n v="1006000"/>
    <n v="697731.87"/>
    <n v="899"/>
    <n v="589"/>
    <n v="899"/>
  </r>
  <r>
    <n v="6"/>
    <x v="3"/>
    <n v="481"/>
    <s v="LUIZ"/>
    <x v="3"/>
    <x v="0"/>
    <n v="50000"/>
    <n v="40"/>
    <n v="40"/>
    <n v="55505.1"/>
    <n v="41496.711119"/>
    <n v="0"/>
    <n v="25.24"/>
    <n v="29.18"/>
    <n v="799790.07999999996"/>
    <n v="605664.57214599999"/>
    <n v="0"/>
    <n v="24.27"/>
    <n v="36"/>
    <n v="22"/>
    <n v="22"/>
    <n v="224"/>
    <n v="7.25"/>
    <n v="50000"/>
    <n v="520.02"/>
    <n v="1"/>
    <n v="20.43"/>
    <n v="2648"/>
    <n v="1006000"/>
    <n v="1006000"/>
    <n v="697731.87"/>
    <n v="899"/>
    <n v="589"/>
    <n v="899"/>
  </r>
  <r>
    <n v="2"/>
    <x v="0"/>
    <n v="520"/>
    <s v="AILTON"/>
    <x v="3"/>
    <x v="0"/>
    <n v="100000"/>
    <n v="69"/>
    <n v="69"/>
    <n v="60081.27"/>
    <n v="44309.442358"/>
    <n v="0"/>
    <n v="26.25"/>
    <n v="28.99"/>
    <n v="1080228.3700000001"/>
    <n v="810319.896007"/>
    <n v="0"/>
    <n v="24.99"/>
    <n v="29"/>
    <n v="22"/>
    <n v="22"/>
    <n v="206"/>
    <n v="13.51"/>
    <n v="100000"/>
    <n v="3604.43"/>
    <n v="0"/>
    <n v="21.61"/>
    <n v="2648"/>
    <n v="1126000"/>
    <n v="1126000"/>
    <n v="949839.12"/>
    <n v="760"/>
    <n v="477"/>
    <n v="760"/>
  </r>
  <r>
    <n v="2"/>
    <x v="0"/>
    <n v="577"/>
    <s v="NELITON"/>
    <x v="3"/>
    <x v="0"/>
    <n v="100000"/>
    <n v="15"/>
    <n v="15"/>
    <n v="103753.84"/>
    <n v="79873.041427000004"/>
    <n v="0"/>
    <n v="23.02"/>
    <n v="18.32"/>
    <n v="1080228.3700000001"/>
    <n v="810319.896007"/>
    <n v="0"/>
    <n v="24.99"/>
    <n v="15"/>
    <n v="22"/>
    <n v="22"/>
    <n v="179"/>
    <n v="8.43"/>
    <n v="100000"/>
    <n v="356.64"/>
    <n v="0"/>
    <n v="21.61"/>
    <n v="2648"/>
    <n v="1126000"/>
    <n v="1126000"/>
    <n v="949839.12"/>
    <n v="760"/>
    <n v="477"/>
    <n v="760"/>
  </r>
  <r>
    <n v="6"/>
    <x v="3"/>
    <n v="580"/>
    <s v="GILSON"/>
    <x v="3"/>
    <x v="0"/>
    <n v="0"/>
    <n v="0"/>
    <n v="0"/>
    <n v="2901.68"/>
    <n v="2174.3160459999999"/>
    <n v="0"/>
    <n v="25.07"/>
    <n v="16.72"/>
    <n v="799790.07999999996"/>
    <n v="605664.57214599999"/>
    <n v="0"/>
    <n v="24.27"/>
    <n v="7"/>
    <n v="22"/>
    <n v="22"/>
    <n v="37"/>
    <n v="5.88"/>
    <n v="0"/>
    <n v="0"/>
    <n v="1"/>
    <n v="20.43"/>
    <n v="2648"/>
    <n v="1006000"/>
    <n v="1006000"/>
    <n v="697731.87"/>
    <n v="899"/>
    <n v="589"/>
    <n v="899"/>
  </r>
  <r>
    <n v="26"/>
    <x v="4"/>
    <n v="661"/>
    <s v="LUCIO"/>
    <x v="3"/>
    <x v="0"/>
    <n v="120000"/>
    <n v="89"/>
    <n v="89"/>
    <n v="158490.82"/>
    <n v="120100.02661299999"/>
    <n v="0"/>
    <n v="24.22"/>
    <n v="24.62"/>
    <n v="933054.95"/>
    <n v="710042.85993000004"/>
    <n v="0"/>
    <n v="23.9"/>
    <n v="70"/>
    <n v="22"/>
    <n v="22"/>
    <n v="353"/>
    <n v="11.33"/>
    <n v="120000"/>
    <n v="1269.8399999999999"/>
    <n v="0"/>
    <n v="26.63"/>
    <n v="2648"/>
    <n v="865000"/>
    <n v="865000"/>
    <n v="830922.56"/>
    <n v="664"/>
    <n v="525"/>
    <n v="664"/>
  </r>
  <r>
    <n v="2"/>
    <x v="0"/>
    <n v="690"/>
    <s v="MARCIO"/>
    <x v="3"/>
    <x v="0"/>
    <n v="100000"/>
    <n v="90"/>
    <n v="90"/>
    <n v="104882.2"/>
    <n v="78111.090477999998"/>
    <n v="0"/>
    <n v="25.52"/>
    <n v="19.440000000000001"/>
    <n v="1080228.3700000001"/>
    <n v="810319.896007"/>
    <n v="0"/>
    <n v="24.99"/>
    <n v="70"/>
    <n v="22"/>
    <n v="22"/>
    <n v="418"/>
    <n v="12.91"/>
    <n v="100000"/>
    <n v="362.4"/>
    <n v="0"/>
    <n v="21.61"/>
    <n v="2648"/>
    <n v="1126000"/>
    <n v="1126000"/>
    <n v="949839.12"/>
    <n v="760"/>
    <n v="477"/>
    <n v="760"/>
  </r>
  <r>
    <n v="26"/>
    <x v="4"/>
    <n v="705"/>
    <s v="HENRIQUERSON"/>
    <x v="3"/>
    <x v="0"/>
    <n v="100000"/>
    <n v="35"/>
    <n v="35"/>
    <n v="48334.07"/>
    <n v="38024.863268000001"/>
    <n v="0"/>
    <n v="21.33"/>
    <n v="29.83"/>
    <n v="933054.95"/>
    <n v="710042.85993000004"/>
    <n v="0"/>
    <n v="23.9"/>
    <n v="15"/>
    <n v="22"/>
    <n v="22"/>
    <n v="325"/>
    <n v="19.55"/>
    <n v="100000"/>
    <n v="0"/>
    <n v="0"/>
    <n v="26.63"/>
    <n v="2648"/>
    <n v="865000"/>
    <n v="865000"/>
    <n v="830922.56"/>
    <n v="664"/>
    <n v="525"/>
    <n v="664"/>
  </r>
  <r>
    <n v="6"/>
    <x v="3"/>
    <n v="746"/>
    <s v="LUANA"/>
    <x v="3"/>
    <x v="0"/>
    <n v="0"/>
    <n v="0"/>
    <n v="0"/>
    <n v="33220.42"/>
    <n v="25498.121755"/>
    <n v="0"/>
    <n v="23.25"/>
    <n v="25.32"/>
    <n v="799790.07999999996"/>
    <n v="605664.57214599999"/>
    <n v="0"/>
    <n v="24.27"/>
    <n v="23"/>
    <n v="22"/>
    <n v="22"/>
    <n v="153"/>
    <n v="9.35"/>
    <n v="0"/>
    <n v="4255.8500000000004"/>
    <n v="0"/>
    <n v="20.43"/>
    <n v="2648"/>
    <n v="1006000"/>
    <n v="1006000"/>
    <n v="697731.87"/>
    <n v="899"/>
    <n v="589"/>
    <n v="899"/>
  </r>
  <r>
    <n v="2"/>
    <x v="0"/>
    <n v="756"/>
    <s v="EDERLEI"/>
    <x v="3"/>
    <x v="0"/>
    <n v="100000"/>
    <n v="60"/>
    <n v="60"/>
    <n v="120047.49"/>
    <n v="91202.647717999993"/>
    <n v="0"/>
    <n v="24.03"/>
    <n v="28.92"/>
    <n v="1080228.3700000001"/>
    <n v="810319.896007"/>
    <n v="0"/>
    <n v="24.99"/>
    <n v="60"/>
    <n v="22"/>
    <n v="22"/>
    <n v="459"/>
    <n v="13.56"/>
    <n v="100000"/>
    <n v="0"/>
    <n v="0"/>
    <n v="21.61"/>
    <n v="2648"/>
    <n v="1126000"/>
    <n v="1126000"/>
    <n v="949839.12"/>
    <n v="760"/>
    <n v="477"/>
    <n v="760"/>
  </r>
  <r>
    <n v="26"/>
    <x v="4"/>
    <n v="759"/>
    <s v="FRANCISCA"/>
    <x v="3"/>
    <x v="0"/>
    <n v="50000"/>
    <n v="49"/>
    <n v="49"/>
    <n v="51827.72"/>
    <n v="38558.264615"/>
    <n v="0"/>
    <n v="25.6"/>
    <n v="18.98"/>
    <n v="933054.95"/>
    <n v="710042.85993000004"/>
    <n v="0"/>
    <n v="23.9"/>
    <n v="49"/>
    <n v="22"/>
    <n v="22"/>
    <n v="249"/>
    <n v="10.55"/>
    <n v="50000"/>
    <n v="0"/>
    <n v="0"/>
    <n v="26.63"/>
    <n v="2648"/>
    <n v="865000"/>
    <n v="865000"/>
    <n v="830922.56"/>
    <n v="664"/>
    <n v="525"/>
    <n v="664"/>
  </r>
  <r>
    <n v="5"/>
    <x v="5"/>
    <n v="760"/>
    <s v="JEAN"/>
    <x v="3"/>
    <x v="0"/>
    <n v="147000"/>
    <n v="30"/>
    <n v="30"/>
    <n v="142184.12"/>
    <n v="106940.50490099999"/>
    <n v="0"/>
    <n v="24.79"/>
    <n v="39.92"/>
    <n v="350890.02"/>
    <n v="267719.45955999999"/>
    <n v="0"/>
    <n v="23.7"/>
    <n v="32"/>
    <n v="22"/>
    <n v="22"/>
    <n v="159"/>
    <n v="7.18"/>
    <n v="147000"/>
    <n v="2370.7399999999998"/>
    <n v="0"/>
    <n v="23"/>
    <n v="2648"/>
    <n v="380000"/>
    <n v="380000"/>
    <n v="287655.11"/>
    <n v="160"/>
    <n v="99"/>
    <n v="160"/>
  </r>
  <r>
    <n v="6"/>
    <x v="3"/>
    <n v="764"/>
    <s v="JORGE"/>
    <x v="3"/>
    <x v="0"/>
    <n v="108000"/>
    <n v="83"/>
    <n v="83"/>
    <n v="108722.27"/>
    <n v="82288.813236000002"/>
    <n v="0"/>
    <n v="24.31"/>
    <n v="19.38"/>
    <n v="799790.07999999996"/>
    <n v="605664.57214599999"/>
    <n v="0"/>
    <n v="24.27"/>
    <n v="71"/>
    <n v="22"/>
    <n v="22"/>
    <n v="455"/>
    <n v="11.98"/>
    <n v="108000"/>
    <n v="252.82"/>
    <n v="1"/>
    <n v="20.43"/>
    <n v="2648"/>
    <n v="1006000"/>
    <n v="1006000"/>
    <n v="697731.87"/>
    <n v="899"/>
    <n v="589"/>
    <n v="899"/>
  </r>
  <r>
    <n v="26"/>
    <x v="4"/>
    <n v="796"/>
    <s v="PEDRO"/>
    <x v="3"/>
    <x v="0"/>
    <n v="32000"/>
    <n v="1"/>
    <n v="1"/>
    <n v="33546.94"/>
    <n v="29274.457740000002"/>
    <n v="0"/>
    <n v="12.74"/>
    <n v="39.81"/>
    <n v="933054.95"/>
    <n v="710042.85993000004"/>
    <n v="0"/>
    <n v="23.9"/>
    <n v="1"/>
    <n v="22"/>
    <n v="22"/>
    <n v="98"/>
    <n v="5.04"/>
    <n v="32000"/>
    <n v="223.59"/>
    <n v="0"/>
    <n v="26.63"/>
    <n v="2648"/>
    <n v="865000"/>
    <n v="865000"/>
    <n v="830922.56"/>
    <n v="664"/>
    <n v="525"/>
    <n v="664"/>
  </r>
  <r>
    <n v="12"/>
    <x v="6"/>
    <n v="800"/>
    <s v="WANDERSON"/>
    <x v="3"/>
    <x v="0"/>
    <n v="55000"/>
    <n v="70"/>
    <n v="70"/>
    <n v="28172.880000000001"/>
    <n v="21206.831550999999"/>
    <n v="0"/>
    <n v="24.73"/>
    <n v="12.57"/>
    <n v="328927.56"/>
    <n v="249677.97298300001"/>
    <n v="0"/>
    <n v="24.09"/>
    <n v="49"/>
    <n v="22"/>
    <n v="22"/>
    <n v="249"/>
    <n v="8.86"/>
    <n v="55000"/>
    <n v="1881.45"/>
    <n v="1"/>
    <n v="27.59"/>
    <n v="2648"/>
    <n v="645000"/>
    <n v="645000"/>
    <n v="392162.47"/>
    <n v="790"/>
    <n v="478"/>
    <n v="790"/>
  </r>
  <r>
    <n v="2"/>
    <x v="0"/>
    <n v="817"/>
    <s v="GUTEMBERG"/>
    <x v="3"/>
    <x v="0"/>
    <n v="100000"/>
    <n v="70"/>
    <n v="70"/>
    <n v="124200.95"/>
    <n v="89866.718001000001"/>
    <n v="0"/>
    <n v="27.64"/>
    <n v="22.24"/>
    <n v="1080228.3700000001"/>
    <n v="810319.896007"/>
    <n v="0"/>
    <n v="24.99"/>
    <n v="74"/>
    <n v="22"/>
    <n v="22"/>
    <n v="421"/>
    <n v="13.96"/>
    <n v="100000"/>
    <n v="155.34"/>
    <n v="1"/>
    <n v="21.61"/>
    <n v="2648"/>
    <n v="1126000"/>
    <n v="1126000"/>
    <n v="949839.12"/>
    <n v="760"/>
    <n v="477"/>
    <n v="760"/>
  </r>
  <r>
    <n v="12"/>
    <x v="6"/>
    <n v="853"/>
    <s v="KELLY"/>
    <x v="3"/>
    <x v="0"/>
    <n v="55000"/>
    <n v="65"/>
    <n v="65"/>
    <n v="39137.85"/>
    <n v="30268.843185999998"/>
    <n v="0"/>
    <n v="22.66"/>
    <n v="15.43"/>
    <n v="328927.56"/>
    <n v="249677.97298300001"/>
    <n v="0"/>
    <n v="24.09"/>
    <n v="48"/>
    <n v="22"/>
    <n v="22"/>
    <n v="278"/>
    <n v="12.2"/>
    <n v="55000"/>
    <n v="575.05999999999995"/>
    <n v="2"/>
    <n v="27.59"/>
    <n v="2648"/>
    <n v="645000"/>
    <n v="645000"/>
    <n v="392162.47"/>
    <n v="790"/>
    <n v="478"/>
    <n v="790"/>
  </r>
  <r>
    <n v="12"/>
    <x v="6"/>
    <n v="884"/>
    <s v="JOILSON"/>
    <x v="3"/>
    <x v="0"/>
    <n v="115000"/>
    <n v="145"/>
    <n v="145"/>
    <n v="0"/>
    <n v="2102.7346109999999"/>
    <n v="0"/>
    <n v="0"/>
    <n v="1"/>
    <n v="328927.56"/>
    <n v="249677.97298300001"/>
    <n v="0"/>
    <n v="24.09"/>
    <n v="0"/>
    <n v="22"/>
    <n v="22"/>
    <n v="18"/>
    <n v="1.85"/>
    <n v="115000"/>
    <n v="0"/>
    <n v="0"/>
    <n v="27.59"/>
    <n v="2648"/>
    <n v="645000"/>
    <n v="645000"/>
    <n v="392162.47"/>
    <n v="790"/>
    <n v="478"/>
    <n v="790"/>
  </r>
  <r>
    <n v="10"/>
    <x v="1"/>
    <n v="922"/>
    <s v="SILVANA"/>
    <x v="3"/>
    <x v="0"/>
    <n v="60000"/>
    <n v="65"/>
    <n v="65"/>
    <n v="49997.85"/>
    <n v="38249.836745000001"/>
    <n v="0"/>
    <n v="23.5"/>
    <n v="14.07"/>
    <n v="0"/>
    <n v="0"/>
    <n v="0"/>
    <n v="0"/>
    <n v="54"/>
    <n v="22"/>
    <n v="22"/>
    <n v="481"/>
    <n v="13.35"/>
    <n v="60000"/>
    <n v="216.76"/>
    <n v="1"/>
    <n v="0"/>
    <n v="2648"/>
    <n v="610000"/>
    <n v="610000"/>
    <n v="494578.26"/>
    <n v="471"/>
    <n v="461"/>
    <n v="471"/>
  </r>
  <r>
    <n v="4"/>
    <x v="2"/>
    <n v="949"/>
    <s v="JOCINELMA"/>
    <x v="3"/>
    <x v="0"/>
    <n v="105000"/>
    <n v="60"/>
    <n v="60"/>
    <n v="80610.73"/>
    <n v="58487.409483000003"/>
    <n v="0"/>
    <n v="27.44"/>
    <n v="22.65"/>
    <n v="519906.67"/>
    <n v="377617.25475399999"/>
    <n v="0"/>
    <n v="27.37"/>
    <n v="58"/>
    <n v="22"/>
    <n v="22"/>
    <n v="796"/>
    <n v="18.670000000000002"/>
    <n v="105000"/>
    <n v="0"/>
    <n v="2"/>
    <n v="24.16"/>
    <n v="2648"/>
    <n v="721000"/>
    <n v="721000"/>
    <n v="519906.67"/>
    <n v="463"/>
    <n v="327"/>
    <n v="463"/>
  </r>
  <r>
    <n v="26"/>
    <x v="4"/>
    <n v="950"/>
    <s v="PEDRO"/>
    <x v="3"/>
    <x v="0"/>
    <n v="78000"/>
    <n v="71"/>
    <n v="71"/>
    <n v="81841.47"/>
    <n v="61117.314763000002"/>
    <n v="0"/>
    <n v="25.32"/>
    <n v="22.12"/>
    <n v="933054.95"/>
    <n v="710042.85993000004"/>
    <n v="0"/>
    <n v="23.9"/>
    <n v="74"/>
    <n v="22"/>
    <n v="22"/>
    <n v="339"/>
    <n v="9.4499999999999993"/>
    <n v="78000"/>
    <n v="613.95000000000005"/>
    <n v="0"/>
    <n v="26.63"/>
    <n v="2648"/>
    <n v="865000"/>
    <n v="865000"/>
    <n v="830922.56"/>
    <n v="664"/>
    <n v="525"/>
    <n v="664"/>
  </r>
  <r>
    <n v="26"/>
    <x v="4"/>
    <n v="962"/>
    <s v="ROMARIO"/>
    <x v="3"/>
    <x v="0"/>
    <n v="45000"/>
    <n v="49"/>
    <n v="49"/>
    <n v="52647.14"/>
    <n v="40591.048214000002"/>
    <n v="0"/>
    <n v="22.9"/>
    <n v="20.02"/>
    <n v="933054.95"/>
    <n v="710042.85993000004"/>
    <n v="0"/>
    <n v="23.9"/>
    <n v="49"/>
    <n v="22"/>
    <n v="22"/>
    <n v="426"/>
    <n v="12.06"/>
    <n v="45000"/>
    <n v="16.309999999999999"/>
    <n v="0"/>
    <n v="26.63"/>
    <n v="2648"/>
    <n v="865000"/>
    <n v="865000"/>
    <n v="830922.56"/>
    <n v="664"/>
    <n v="525"/>
    <n v="664"/>
  </r>
  <r>
    <n v="4"/>
    <x v="2"/>
    <n v="977"/>
    <s v="EVERTON"/>
    <x v="3"/>
    <x v="0"/>
    <n v="150000"/>
    <n v="104"/>
    <n v="104"/>
    <n v="115333.66"/>
    <n v="83124.253907000006"/>
    <n v="0"/>
    <n v="27.93"/>
    <n v="23.04"/>
    <n v="519906.67"/>
    <n v="377617.25475399999"/>
    <n v="0"/>
    <n v="27.37"/>
    <n v="61"/>
    <n v="22"/>
    <n v="22"/>
    <n v="578"/>
    <n v="16.02"/>
    <n v="150000"/>
    <n v="0"/>
    <n v="2"/>
    <n v="24.16"/>
    <n v="2648"/>
    <n v="721000"/>
    <n v="721000"/>
    <n v="519906.67"/>
    <n v="463"/>
    <n v="327"/>
    <n v="463"/>
  </r>
  <r>
    <n v="6"/>
    <x v="3"/>
    <n v="983"/>
    <s v="CRISTIELLEN"/>
    <x v="3"/>
    <x v="0"/>
    <n v="230000"/>
    <n v="187"/>
    <n v="187"/>
    <n v="34618.67"/>
    <n v="27889.760343999998"/>
    <n v="0"/>
    <n v="19.440000000000001"/>
    <n v="21.72"/>
    <n v="799790.07999999996"/>
    <n v="605664.57214599999"/>
    <n v="0"/>
    <n v="24.27"/>
    <n v="27"/>
    <n v="22"/>
    <n v="22"/>
    <n v="249"/>
    <n v="10.199999999999999"/>
    <n v="230000"/>
    <n v="0"/>
    <n v="0"/>
    <n v="20.43"/>
    <n v="2648"/>
    <n v="1006000"/>
    <n v="1006000"/>
    <n v="697731.87"/>
    <n v="899"/>
    <n v="589"/>
    <n v="899"/>
  </r>
  <r>
    <n v="5"/>
    <x v="5"/>
    <n v="990"/>
    <s v="NATANE"/>
    <x v="3"/>
    <x v="0"/>
    <n v="65000"/>
    <n v="20"/>
    <n v="20"/>
    <n v="23111.89"/>
    <n v="17625.905696000002"/>
    <n v="0"/>
    <n v="23.74"/>
    <n v="27.78"/>
    <n v="350890.02"/>
    <n v="267719.45955999999"/>
    <n v="0"/>
    <n v="23.7"/>
    <n v="7"/>
    <n v="22"/>
    <n v="22"/>
    <n v="61"/>
    <n v="9.07"/>
    <n v="65000"/>
    <n v="0"/>
    <n v="6"/>
    <n v="23"/>
    <n v="2648"/>
    <n v="380000"/>
    <n v="380000"/>
    <n v="287655.11"/>
    <n v="160"/>
    <n v="99"/>
    <n v="160"/>
  </r>
  <r>
    <n v="26"/>
    <x v="4"/>
    <n v="1023"/>
    <s v="JOSINILDO"/>
    <x v="3"/>
    <x v="0"/>
    <n v="90000"/>
    <n v="89"/>
    <n v="89"/>
    <n v="66859.97"/>
    <n v="49492.116976999998"/>
    <n v="0"/>
    <n v="25.98"/>
    <n v="21.85"/>
    <n v="933054.95"/>
    <n v="710042.85993000004"/>
    <n v="0"/>
    <n v="23.9"/>
    <n v="49"/>
    <n v="22"/>
    <n v="22"/>
    <n v="394"/>
    <n v="11.36"/>
    <n v="90000"/>
    <n v="2731.55"/>
    <n v="1"/>
    <n v="26.63"/>
    <n v="2648"/>
    <n v="865000"/>
    <n v="865000"/>
    <n v="830922.56"/>
    <n v="664"/>
    <n v="525"/>
    <n v="664"/>
  </r>
  <r>
    <n v="2"/>
    <x v="0"/>
    <n v="1027"/>
    <s v="SUELI"/>
    <x v="3"/>
    <x v="0"/>
    <n v="65000"/>
    <n v="50"/>
    <n v="50"/>
    <n v="65803.34"/>
    <n v="48869.005792999997"/>
    <n v="0"/>
    <n v="25.73"/>
    <n v="25.04"/>
    <n v="1080228.3700000001"/>
    <n v="810319.896007"/>
    <n v="0"/>
    <n v="24.99"/>
    <n v="33"/>
    <n v="22"/>
    <n v="22"/>
    <n v="422"/>
    <n v="14.85"/>
    <n v="65000"/>
    <n v="781.92"/>
    <n v="3"/>
    <n v="21.61"/>
    <n v="2648"/>
    <n v="1126000"/>
    <n v="1126000"/>
    <n v="949839.12"/>
    <n v="760"/>
    <n v="477"/>
    <n v="760"/>
  </r>
  <r>
    <n v="12"/>
    <x v="6"/>
    <n v="1036"/>
    <s v="LUIZ"/>
    <x v="3"/>
    <x v="0"/>
    <n v="46000"/>
    <n v="60"/>
    <n v="60"/>
    <n v="39562.58"/>
    <n v="30142.317182999999"/>
    <n v="0"/>
    <n v="23.81"/>
    <n v="12.71"/>
    <n v="328927.56"/>
    <n v="249677.97298300001"/>
    <n v="0"/>
    <n v="24.09"/>
    <n v="28"/>
    <n v="22"/>
    <n v="22"/>
    <n v="160"/>
    <n v="9.65"/>
    <n v="46000"/>
    <n v="0"/>
    <n v="3"/>
    <n v="27.59"/>
    <n v="2648"/>
    <n v="645000"/>
    <n v="645000"/>
    <n v="392162.47"/>
    <n v="790"/>
    <n v="478"/>
    <n v="790"/>
  </r>
  <r>
    <n v="12"/>
    <x v="6"/>
    <n v="1068"/>
    <s v="AMARO"/>
    <x v="3"/>
    <x v="0"/>
    <n v="65000"/>
    <n v="65"/>
    <n v="65"/>
    <n v="55289.89"/>
    <n v="43257.669539000002"/>
    <n v="0"/>
    <n v="21.76"/>
    <n v="21.55"/>
    <n v="328927.56"/>
    <n v="249677.97298300001"/>
    <n v="0"/>
    <n v="24.09"/>
    <n v="65"/>
    <n v="22"/>
    <n v="22"/>
    <n v="300"/>
    <n v="8.65"/>
    <n v="65000"/>
    <n v="202.68"/>
    <n v="0"/>
    <n v="27.59"/>
    <n v="2648"/>
    <n v="645000"/>
    <n v="645000"/>
    <n v="392162.47"/>
    <n v="790"/>
    <n v="478"/>
    <n v="790"/>
  </r>
  <r>
    <n v="5"/>
    <x v="5"/>
    <n v="1158"/>
    <s v="CLEITON"/>
    <x v="3"/>
    <x v="0"/>
    <n v="23000"/>
    <n v="30"/>
    <n v="30"/>
    <n v="160.69999999999999"/>
    <n v="462.55507999999998"/>
    <n v="0"/>
    <n v="-187.84"/>
    <n v="1"/>
    <n v="350890.02"/>
    <n v="267719.45955999999"/>
    <n v="0"/>
    <n v="23.7"/>
    <n v="1"/>
    <n v="22"/>
    <n v="22"/>
    <n v="7"/>
    <n v="1.6"/>
    <n v="23000"/>
    <n v="0"/>
    <n v="0"/>
    <n v="23"/>
    <n v="2648"/>
    <n v="380000"/>
    <n v="380000"/>
    <n v="287655.11"/>
    <n v="160"/>
    <n v="99"/>
    <n v="160"/>
  </r>
  <r>
    <n v="6"/>
    <x v="3"/>
    <n v="1171"/>
    <s v="EMANUEL"/>
    <x v="3"/>
    <x v="0"/>
    <n v="105000"/>
    <n v="95"/>
    <n v="95"/>
    <n v="48960.72"/>
    <n v="36224.117578999998"/>
    <n v="0"/>
    <n v="26.01"/>
    <n v="21.91"/>
    <n v="799790.07999999996"/>
    <n v="605664.57214599999"/>
    <n v="0"/>
    <n v="24.27"/>
    <n v="43"/>
    <n v="22"/>
    <n v="22"/>
    <n v="460"/>
    <n v="17.7"/>
    <n v="105000"/>
    <n v="8.93"/>
    <n v="0"/>
    <n v="20.43"/>
    <n v="2648"/>
    <n v="1006000"/>
    <n v="1006000"/>
    <n v="697731.87"/>
    <n v="899"/>
    <n v="589"/>
    <n v="899"/>
  </r>
  <r>
    <n v="6"/>
    <x v="3"/>
    <n v="1237"/>
    <s v="MARCOS"/>
    <x v="3"/>
    <x v="0"/>
    <n v="65000"/>
    <n v="69"/>
    <n v="69"/>
    <n v="65045.440000000002"/>
    <n v="47637.770776999998"/>
    <n v="0"/>
    <n v="26.76"/>
    <n v="21.09"/>
    <n v="799790.07999999996"/>
    <n v="605664.57214599999"/>
    <n v="0"/>
    <n v="24.27"/>
    <n v="61"/>
    <n v="22"/>
    <n v="22"/>
    <n v="401"/>
    <n v="12.79"/>
    <n v="65000"/>
    <n v="0"/>
    <n v="0"/>
    <n v="20.43"/>
    <n v="2648"/>
    <n v="1006000"/>
    <n v="1006000"/>
    <n v="697731.87"/>
    <n v="899"/>
    <n v="589"/>
    <n v="899"/>
  </r>
  <r>
    <n v="26"/>
    <x v="4"/>
    <n v="1238"/>
    <s v="MARY"/>
    <x v="3"/>
    <x v="0"/>
    <n v="40000"/>
    <n v="15"/>
    <n v="15"/>
    <n v="32306.9"/>
    <n v="24905.164388000001"/>
    <n v="0"/>
    <n v="22.91"/>
    <n v="34.229999999999997"/>
    <n v="933054.95"/>
    <n v="710042.85993000004"/>
    <n v="0"/>
    <n v="23.9"/>
    <n v="16"/>
    <n v="22"/>
    <n v="22"/>
    <n v="77"/>
    <n v="6"/>
    <n v="40000"/>
    <n v="1595.82"/>
    <n v="0"/>
    <n v="26.63"/>
    <n v="2648"/>
    <n v="865000"/>
    <n v="865000"/>
    <n v="830922.56"/>
    <n v="664"/>
    <n v="525"/>
    <n v="664"/>
  </r>
  <r>
    <n v="6"/>
    <x v="3"/>
    <n v="1241"/>
    <s v="JEAN"/>
    <x v="3"/>
    <x v="0"/>
    <n v="0"/>
    <n v="0"/>
    <n v="0"/>
    <n v="22655.919999999998"/>
    <n v="17331.638890999999"/>
    <n v="0"/>
    <n v="23.5"/>
    <n v="20.399999999999999"/>
    <n v="799790.07999999996"/>
    <n v="605664.57214599999"/>
    <n v="0"/>
    <n v="24.27"/>
    <n v="27"/>
    <n v="22"/>
    <n v="22"/>
    <n v="219"/>
    <n v="11.34"/>
    <n v="0"/>
    <n v="213.07"/>
    <n v="0"/>
    <n v="20.43"/>
    <n v="2648"/>
    <n v="1006000"/>
    <n v="1006000"/>
    <n v="697731.87"/>
    <n v="899"/>
    <n v="589"/>
    <n v="899"/>
  </r>
  <r>
    <n v="26"/>
    <x v="4"/>
    <n v="1265"/>
    <s v="SAMUEL"/>
    <x v="3"/>
    <x v="0"/>
    <n v="130000"/>
    <n v="125"/>
    <n v="125"/>
    <n v="136807.37"/>
    <n v="104245.442388"/>
    <n v="0"/>
    <n v="23.8"/>
    <n v="25.58"/>
    <n v="933054.95"/>
    <n v="710042.85993000004"/>
    <n v="0"/>
    <n v="23.9"/>
    <n v="80"/>
    <n v="22"/>
    <n v="22"/>
    <n v="349"/>
    <n v="8.4600000000000009"/>
    <n v="130000"/>
    <n v="664.5"/>
    <n v="0"/>
    <n v="26.63"/>
    <n v="2648"/>
    <n v="865000"/>
    <n v="865000"/>
    <n v="830922.56"/>
    <n v="664"/>
    <n v="525"/>
    <n v="664"/>
  </r>
  <r>
    <n v="10"/>
    <x v="1"/>
    <n v="1271"/>
    <s v="ALISON"/>
    <x v="3"/>
    <x v="0"/>
    <n v="80000"/>
    <n v="65"/>
    <n v="65"/>
    <n v="108807.43"/>
    <n v="82627.114352000004"/>
    <n v="0"/>
    <n v="24.06"/>
    <n v="16.329999999999998"/>
    <n v="0"/>
    <n v="0"/>
    <n v="0"/>
    <n v="0"/>
    <n v="78"/>
    <n v="22"/>
    <n v="22"/>
    <n v="539"/>
    <n v="10.47"/>
    <n v="80000"/>
    <n v="1228.08"/>
    <n v="0"/>
    <n v="0"/>
    <n v="2648"/>
    <n v="610000"/>
    <n v="610000"/>
    <n v="494578.26"/>
    <n v="471"/>
    <n v="461"/>
    <n v="471"/>
  </r>
  <r>
    <n v="2"/>
    <x v="0"/>
    <n v="1280"/>
    <s v="ARIANE"/>
    <x v="3"/>
    <x v="0"/>
    <n v="88000"/>
    <n v="60"/>
    <n v="60"/>
    <n v="88947.85"/>
    <n v="64867.582399999999"/>
    <n v="0"/>
    <n v="27.07"/>
    <n v="21.52"/>
    <n v="1080228.3700000001"/>
    <n v="810319.896007"/>
    <n v="0"/>
    <n v="24.99"/>
    <n v="29"/>
    <n v="22"/>
    <n v="22"/>
    <n v="650"/>
    <n v="23.04"/>
    <n v="88000"/>
    <n v="32.549999999999997"/>
    <n v="1"/>
    <n v="21.61"/>
    <n v="2648"/>
    <n v="1126000"/>
    <n v="1126000"/>
    <n v="949839.12"/>
    <n v="760"/>
    <n v="477"/>
    <n v="760"/>
  </r>
  <r>
    <n v="17"/>
    <x v="8"/>
    <n v="1292"/>
    <s v="EMANOEL"/>
    <x v="3"/>
    <x v="0"/>
    <n v="100000"/>
    <n v="55"/>
    <n v="55"/>
    <n v="90816.57"/>
    <n v="63575.243076999999"/>
    <n v="0"/>
    <n v="30"/>
    <n v="23.51"/>
    <n v="326151.40000000002"/>
    <n v="231237.277481"/>
    <n v="0"/>
    <n v="29.1"/>
    <n v="45"/>
    <n v="22"/>
    <n v="22"/>
    <n v="556"/>
    <n v="17.41"/>
    <n v="100000"/>
    <n v="0"/>
    <n v="0"/>
    <n v="23.12"/>
    <n v="2648"/>
    <n v="573000"/>
    <n v="573000"/>
    <n v="326151.40000000002"/>
    <n v="315"/>
    <n v="139"/>
    <n v="315"/>
  </r>
  <r>
    <n v="12"/>
    <x v="6"/>
    <n v="1330"/>
    <s v="LUIZ"/>
    <x v="3"/>
    <x v="0"/>
    <n v="55000"/>
    <n v="70"/>
    <n v="70"/>
    <n v="21916.78"/>
    <n v="17240.912414999999"/>
    <n v="0"/>
    <n v="21.33"/>
    <n v="12.82"/>
    <n v="328927.56"/>
    <n v="249677.97298300001"/>
    <n v="0"/>
    <n v="24.09"/>
    <n v="30"/>
    <n v="22"/>
    <n v="22"/>
    <n v="126"/>
    <n v="7.23"/>
    <n v="55000"/>
    <n v="380.88"/>
    <n v="0"/>
    <n v="27.59"/>
    <n v="2648"/>
    <n v="645000"/>
    <n v="645000"/>
    <n v="392162.47"/>
    <n v="790"/>
    <n v="478"/>
    <n v="790"/>
  </r>
  <r>
    <n v="26"/>
    <x v="4"/>
    <n v="1336"/>
    <s v="REGINALDO"/>
    <x v="3"/>
    <x v="0"/>
    <n v="0"/>
    <n v="0"/>
    <n v="0"/>
    <n v="1118.28"/>
    <n v="836.13176999999996"/>
    <n v="0"/>
    <n v="25.23"/>
    <n v="21"/>
    <n v="933054.95"/>
    <n v="710042.85993000004"/>
    <n v="0"/>
    <n v="23.9"/>
    <n v="1"/>
    <n v="22"/>
    <n v="22"/>
    <n v="16"/>
    <n v="16"/>
    <n v="0"/>
    <n v="16.350000000000001"/>
    <n v="0"/>
    <n v="26.63"/>
    <n v="2648"/>
    <n v="865000"/>
    <n v="865000"/>
    <n v="830922.56"/>
    <n v="664"/>
    <n v="525"/>
    <n v="664"/>
  </r>
  <r>
    <n v="6"/>
    <x v="3"/>
    <n v="1337"/>
    <s v="IZABELLI"/>
    <x v="3"/>
    <x v="0"/>
    <n v="65000"/>
    <n v="61"/>
    <n v="61"/>
    <n v="56601.58"/>
    <n v="42649.948635000001"/>
    <n v="0"/>
    <n v="24.65"/>
    <n v="15.84"/>
    <n v="799790.07999999996"/>
    <n v="605664.57214599999"/>
    <n v="0"/>
    <n v="24.27"/>
    <n v="55"/>
    <n v="22"/>
    <n v="22"/>
    <n v="241"/>
    <n v="9.67"/>
    <n v="65000"/>
    <n v="0"/>
    <n v="0"/>
    <n v="20.43"/>
    <n v="2648"/>
    <n v="1006000"/>
    <n v="1006000"/>
    <n v="697731.87"/>
    <n v="899"/>
    <n v="589"/>
    <n v="899"/>
  </r>
  <r>
    <n v="17"/>
    <x v="8"/>
    <n v="1343"/>
    <s v="J.CRUZ"/>
    <x v="3"/>
    <x v="0"/>
    <n v="40000"/>
    <n v="1"/>
    <n v="1"/>
    <n v="5314.88"/>
    <n v="3611.969822"/>
    <n v="0"/>
    <n v="32.04"/>
    <n v="28"/>
    <n v="326151.40000000002"/>
    <n v="231237.277481"/>
    <n v="0"/>
    <n v="29.1"/>
    <n v="1"/>
    <n v="22"/>
    <n v="22"/>
    <n v="85"/>
    <n v="85"/>
    <n v="40000"/>
    <n v="0"/>
    <n v="0"/>
    <n v="23.12"/>
    <n v="2648"/>
    <n v="573000"/>
    <n v="573000"/>
    <n v="326151.40000000002"/>
    <n v="315"/>
    <n v="139"/>
    <n v="315"/>
  </r>
  <r>
    <n v="10"/>
    <x v="1"/>
    <n v="1359"/>
    <s v="HENRIQUE"/>
    <x v="3"/>
    <x v="0"/>
    <n v="75000"/>
    <n v="50"/>
    <n v="50"/>
    <n v="37270.379999999997"/>
    <n v="28414.922620000001"/>
    <n v="0"/>
    <n v="23.76"/>
    <n v="26.7"/>
    <n v="0"/>
    <n v="0"/>
    <n v="0"/>
    <n v="0"/>
    <n v="31"/>
    <n v="22"/>
    <n v="22"/>
    <n v="206"/>
    <n v="11.82"/>
    <n v="75000"/>
    <n v="0"/>
    <n v="0"/>
    <n v="0"/>
    <n v="2648"/>
    <n v="610000"/>
    <n v="610000"/>
    <n v="494578.26"/>
    <n v="471"/>
    <n v="461"/>
    <n v="471"/>
  </r>
  <r>
    <n v="6"/>
    <x v="3"/>
    <n v="1385"/>
    <s v="ADAUTO"/>
    <x v="3"/>
    <x v="0"/>
    <n v="75000"/>
    <n v="77"/>
    <n v="77"/>
    <n v="66507.98"/>
    <n v="50051.441190999998"/>
    <n v="0"/>
    <n v="24.74"/>
    <n v="15.08"/>
    <n v="799790.07999999996"/>
    <n v="605664.57214599999"/>
    <n v="0"/>
    <n v="24.27"/>
    <n v="68"/>
    <n v="22"/>
    <n v="22"/>
    <n v="516"/>
    <n v="13.71"/>
    <n v="75000"/>
    <n v="1041.67"/>
    <n v="1"/>
    <n v="20.43"/>
    <n v="2648"/>
    <n v="1006000"/>
    <n v="1006000"/>
    <n v="697731.87"/>
    <n v="899"/>
    <n v="589"/>
    <n v="899"/>
  </r>
  <r>
    <n v="20"/>
    <x v="7"/>
    <n v="1387"/>
    <s v="JANDERSON"/>
    <x v="3"/>
    <x v="0"/>
    <n v="0"/>
    <n v="0"/>
    <n v="0"/>
    <n v="1707.97"/>
    <n v="1352.238531"/>
    <n v="0"/>
    <n v="20.83"/>
    <n v="30.61"/>
    <n v="332890.5"/>
    <n v="251273.091338"/>
    <n v="0"/>
    <n v="24.52"/>
    <n v="2"/>
    <n v="22"/>
    <n v="22"/>
    <n v="21"/>
    <n v="10.5"/>
    <n v="0"/>
    <n v="1404.9"/>
    <n v="0"/>
    <n v="31.26"/>
    <n v="2648"/>
    <n v="275000"/>
    <n v="275000"/>
    <n v="68510.98"/>
    <n v="260"/>
    <n v="68"/>
    <n v="260"/>
  </r>
  <r>
    <n v="12"/>
    <x v="6"/>
    <n v="1390"/>
    <s v="ADINALVA"/>
    <x v="3"/>
    <x v="0"/>
    <n v="55000"/>
    <n v="60"/>
    <n v="60"/>
    <n v="33479.199999999997"/>
    <n v="25230.406018000001"/>
    <n v="0"/>
    <n v="24.64"/>
    <n v="16.059999999999999"/>
    <n v="328927.56"/>
    <n v="249677.97298300001"/>
    <n v="0"/>
    <n v="24.09"/>
    <n v="49"/>
    <n v="22"/>
    <n v="22"/>
    <n v="237"/>
    <n v="12.89"/>
    <n v="55000"/>
    <n v="0"/>
    <n v="0"/>
    <n v="27.59"/>
    <n v="2648"/>
    <n v="645000"/>
    <n v="645000"/>
    <n v="392162.47"/>
    <n v="790"/>
    <n v="478"/>
    <n v="790"/>
  </r>
  <r>
    <n v="26"/>
    <x v="4"/>
    <n v="1394"/>
    <s v="WENDERSON"/>
    <x v="3"/>
    <x v="0"/>
    <n v="50000"/>
    <n v="60"/>
    <n v="60"/>
    <n v="42789.21"/>
    <n v="32113.273641"/>
    <n v="0"/>
    <n v="24.95"/>
    <n v="22.19"/>
    <n v="933054.95"/>
    <n v="710042.85993000004"/>
    <n v="0"/>
    <n v="23.9"/>
    <n v="54"/>
    <n v="22"/>
    <n v="22"/>
    <n v="305"/>
    <n v="9.36"/>
    <n v="50000"/>
    <n v="1494.47"/>
    <n v="1"/>
    <n v="26.63"/>
    <n v="2648"/>
    <n v="865000"/>
    <n v="865000"/>
    <n v="830922.56"/>
    <n v="664"/>
    <n v="525"/>
    <n v="664"/>
  </r>
  <r>
    <n v="12"/>
    <x v="6"/>
    <n v="1402"/>
    <s v="CARLOS"/>
    <x v="3"/>
    <x v="0"/>
    <n v="50000"/>
    <n v="60"/>
    <n v="60"/>
    <n v="51276.77"/>
    <n v="37900.199916999998"/>
    <n v="0"/>
    <n v="26.09"/>
    <n v="27.87"/>
    <n v="328927.56"/>
    <n v="249677.97298300001"/>
    <n v="0"/>
    <n v="24.09"/>
    <n v="45"/>
    <n v="22"/>
    <n v="22"/>
    <n v="213"/>
    <n v="5.73"/>
    <n v="50000"/>
    <n v="5654.96"/>
    <n v="2"/>
    <n v="27.59"/>
    <n v="2648"/>
    <n v="645000"/>
    <n v="645000"/>
    <n v="392162.47"/>
    <n v="790"/>
    <n v="478"/>
    <n v="790"/>
  </r>
  <r>
    <n v="5"/>
    <x v="5"/>
    <n v="1404"/>
    <s v="NICOLY"/>
    <x v="3"/>
    <x v="0"/>
    <n v="30000"/>
    <n v="30"/>
    <n v="30"/>
    <n v="6473.57"/>
    <n v="4748.2153369999996"/>
    <n v="0"/>
    <n v="26.65"/>
    <n v="19.07"/>
    <n v="350890.02"/>
    <n v="267719.45955999999"/>
    <n v="0"/>
    <n v="23.7"/>
    <n v="8"/>
    <n v="22"/>
    <n v="22"/>
    <n v="78"/>
    <n v="12"/>
    <n v="30000"/>
    <n v="0"/>
    <n v="2"/>
    <n v="23"/>
    <n v="2648"/>
    <n v="380000"/>
    <n v="380000"/>
    <n v="287655.11"/>
    <n v="160"/>
    <n v="99"/>
    <n v="160"/>
  </r>
  <r>
    <n v="17"/>
    <x v="8"/>
    <n v="1431"/>
    <s v="MARCIO"/>
    <x v="3"/>
    <x v="0"/>
    <n v="138000"/>
    <n v="86"/>
    <n v="86"/>
    <n v="4471.8"/>
    <n v="3106.266717"/>
    <n v="0"/>
    <n v="30.54"/>
    <n v="33.25"/>
    <n v="326151.40000000002"/>
    <n v="231237.277481"/>
    <n v="0"/>
    <n v="29.1"/>
    <n v="1"/>
    <n v="22"/>
    <n v="22"/>
    <n v="23"/>
    <n v="6.25"/>
    <n v="138000"/>
    <n v="0"/>
    <n v="1"/>
    <n v="23.12"/>
    <n v="2648"/>
    <n v="573000"/>
    <n v="573000"/>
    <n v="326151.40000000002"/>
    <n v="315"/>
    <n v="139"/>
    <n v="315"/>
  </r>
  <r>
    <n v="10"/>
    <x v="1"/>
    <n v="1450"/>
    <s v="INGRID"/>
    <x v="3"/>
    <x v="0"/>
    <n v="75000"/>
    <n v="65"/>
    <n v="65"/>
    <n v="83372.94"/>
    <n v="62527.571412999998"/>
    <n v="0"/>
    <n v="25"/>
    <n v="20.83"/>
    <n v="0"/>
    <n v="0"/>
    <n v="0"/>
    <n v="0"/>
    <n v="80"/>
    <n v="22"/>
    <n v="22"/>
    <n v="677"/>
    <n v="19.95"/>
    <n v="75000"/>
    <n v="14.57"/>
    <n v="1"/>
    <n v="0"/>
    <n v="2648"/>
    <n v="610000"/>
    <n v="610000"/>
    <n v="494578.26"/>
    <n v="471"/>
    <n v="461"/>
    <n v="471"/>
  </r>
  <r>
    <n v="2"/>
    <x v="0"/>
    <n v="1457"/>
    <s v="JOSE"/>
    <x v="3"/>
    <x v="0"/>
    <n v="87000"/>
    <n v="69"/>
    <n v="69"/>
    <n v="73230.77"/>
    <n v="55702.094323999998"/>
    <n v="0"/>
    <n v="23.94"/>
    <n v="26.96"/>
    <n v="1080228.3700000001"/>
    <n v="810319.896007"/>
    <n v="0"/>
    <n v="24.99"/>
    <n v="45"/>
    <n v="22"/>
    <n v="22"/>
    <n v="435"/>
    <n v="13.57"/>
    <n v="87000"/>
    <n v="6908.06"/>
    <n v="1"/>
    <n v="21.61"/>
    <n v="2648"/>
    <n v="1126000"/>
    <n v="1126000"/>
    <n v="949839.12"/>
    <n v="760"/>
    <n v="477"/>
    <n v="760"/>
  </r>
  <r>
    <n v="6"/>
    <x v="3"/>
    <n v="1466"/>
    <s v="ARTHUR"/>
    <x v="3"/>
    <x v="0"/>
    <n v="130000"/>
    <n v="120"/>
    <n v="120"/>
    <n v="72364.259999999995"/>
    <n v="56147.486973999999"/>
    <n v="0"/>
    <n v="22.41"/>
    <n v="20.71"/>
    <n v="799790.07999999996"/>
    <n v="605664.57214599999"/>
    <n v="0"/>
    <n v="24.27"/>
    <n v="46"/>
    <n v="22"/>
    <n v="22"/>
    <n v="361"/>
    <n v="12.31"/>
    <n v="130000"/>
    <n v="2519.33"/>
    <n v="1"/>
    <n v="20.43"/>
    <n v="2648"/>
    <n v="1006000"/>
    <n v="1006000"/>
    <n v="697731.87"/>
    <n v="899"/>
    <n v="589"/>
    <n v="899"/>
  </r>
  <r>
    <n v="4"/>
    <x v="2"/>
    <n v="1473"/>
    <s v="EDER"/>
    <x v="3"/>
    <x v="0"/>
    <n v="105000"/>
    <n v="80"/>
    <n v="80"/>
    <n v="88010.17"/>
    <n v="67078.251571999994"/>
    <n v="0"/>
    <n v="23.78"/>
    <n v="26.5"/>
    <n v="519906.67"/>
    <n v="377617.25475399999"/>
    <n v="0"/>
    <n v="27.37"/>
    <n v="43"/>
    <n v="22"/>
    <n v="22"/>
    <n v="579"/>
    <n v="15.81"/>
    <n v="105000"/>
    <n v="0"/>
    <n v="0"/>
    <n v="24.16"/>
    <n v="2648"/>
    <n v="721000"/>
    <n v="721000"/>
    <n v="519906.67"/>
    <n v="463"/>
    <n v="327"/>
    <n v="463"/>
  </r>
  <r>
    <n v="17"/>
    <x v="8"/>
    <n v="1475"/>
    <s v="CARLOS"/>
    <x v="3"/>
    <x v="0"/>
    <n v="95000"/>
    <n v="54"/>
    <n v="54"/>
    <n v="91543.55"/>
    <n v="65422.501047999998"/>
    <n v="0"/>
    <n v="28.53"/>
    <n v="20.73"/>
    <n v="326151.40000000002"/>
    <n v="231237.277481"/>
    <n v="0"/>
    <n v="29.1"/>
    <n v="29"/>
    <n v="22"/>
    <n v="22"/>
    <n v="252"/>
    <n v="13.02"/>
    <n v="95000"/>
    <n v="0"/>
    <n v="2"/>
    <n v="23.12"/>
    <n v="2648"/>
    <n v="573000"/>
    <n v="573000"/>
    <n v="326151.40000000002"/>
    <n v="315"/>
    <n v="139"/>
    <n v="315"/>
  </r>
  <r>
    <n v="10"/>
    <x v="1"/>
    <n v="1486"/>
    <s v="DHIEGO"/>
    <x v="3"/>
    <x v="0"/>
    <n v="40000"/>
    <n v="25"/>
    <n v="25"/>
    <n v="17988.310000000001"/>
    <n v="13272.413103000001"/>
    <n v="0"/>
    <n v="26.22"/>
    <n v="25.17"/>
    <n v="0"/>
    <n v="0"/>
    <n v="0"/>
    <n v="0"/>
    <n v="19"/>
    <n v="22"/>
    <n v="22"/>
    <n v="109"/>
    <n v="7.46"/>
    <n v="40000"/>
    <n v="0"/>
    <n v="1"/>
    <n v="0"/>
    <n v="2648"/>
    <n v="610000"/>
    <n v="610000"/>
    <n v="494578.26"/>
    <n v="471"/>
    <n v="461"/>
    <n v="471"/>
  </r>
  <r>
    <n v="20"/>
    <x v="7"/>
    <n v="1493"/>
    <s v="FABIO"/>
    <x v="3"/>
    <x v="0"/>
    <n v="45000"/>
    <n v="40"/>
    <n v="40"/>
    <n v="22023.52"/>
    <n v="15884.286732"/>
    <n v="0"/>
    <n v="27.88"/>
    <n v="24.79"/>
    <n v="332890.5"/>
    <n v="251273.091338"/>
    <n v="0"/>
    <n v="24.52"/>
    <n v="29"/>
    <n v="22"/>
    <n v="22"/>
    <n v="126"/>
    <n v="6.32"/>
    <n v="45000"/>
    <n v="11.59"/>
    <n v="0"/>
    <n v="31.26"/>
    <n v="2648"/>
    <n v="275000"/>
    <n v="275000"/>
    <n v="68510.98"/>
    <n v="260"/>
    <n v="68"/>
    <n v="260"/>
  </r>
  <r>
    <n v="17"/>
    <x v="8"/>
    <n v="1497"/>
    <s v="ACSA"/>
    <x v="3"/>
    <x v="0"/>
    <n v="80000"/>
    <n v="36"/>
    <n v="36"/>
    <n v="55244.35"/>
    <n v="39874.769143999998"/>
    <n v="0"/>
    <n v="27.82"/>
    <n v="22.86"/>
    <n v="326151.40000000002"/>
    <n v="231237.277481"/>
    <n v="0"/>
    <n v="29.1"/>
    <n v="23"/>
    <n v="22"/>
    <n v="22"/>
    <n v="395"/>
    <n v="21.09"/>
    <n v="80000"/>
    <n v="0"/>
    <n v="0"/>
    <n v="23.12"/>
    <n v="2648"/>
    <n v="573000"/>
    <n v="573000"/>
    <n v="326151.40000000002"/>
    <n v="315"/>
    <n v="139"/>
    <n v="315"/>
  </r>
  <r>
    <n v="2"/>
    <x v="0"/>
    <n v="1505"/>
    <s v="BRUNA"/>
    <x v="3"/>
    <x v="0"/>
    <n v="78000"/>
    <n v="50"/>
    <n v="50"/>
    <n v="73646.990000000005"/>
    <n v="54888.529916"/>
    <n v="0"/>
    <n v="25.47"/>
    <n v="20.79"/>
    <n v="1080228.3700000001"/>
    <n v="810319.896007"/>
    <n v="0"/>
    <n v="24.99"/>
    <n v="47"/>
    <n v="22"/>
    <n v="22"/>
    <n v="464"/>
    <n v="20.260000000000002"/>
    <n v="78000"/>
    <n v="0"/>
    <n v="1"/>
    <n v="21.61"/>
    <n v="2648"/>
    <n v="1126000"/>
    <n v="1126000"/>
    <n v="949839.12"/>
    <n v="760"/>
    <n v="477"/>
    <n v="760"/>
  </r>
  <r>
    <n v="4"/>
    <x v="2"/>
    <n v="1510"/>
    <s v="MAICON"/>
    <x v="3"/>
    <x v="0"/>
    <n v="0"/>
    <n v="0"/>
    <n v="0"/>
    <n v="25027.96"/>
    <n v="18272.556794"/>
    <n v="0"/>
    <n v="26.99"/>
    <n v="40.4"/>
    <n v="519906.67"/>
    <n v="377617.25475399999"/>
    <n v="0"/>
    <n v="27.37"/>
    <n v="24"/>
    <n v="22"/>
    <n v="22"/>
    <n v="123"/>
    <n v="6.36"/>
    <n v="0"/>
    <n v="0"/>
    <n v="3"/>
    <n v="24.16"/>
    <n v="2648"/>
    <n v="721000"/>
    <n v="721000"/>
    <n v="519906.67"/>
    <n v="463"/>
    <n v="327"/>
    <n v="463"/>
  </r>
  <r>
    <n v="4"/>
    <x v="2"/>
    <n v="1522"/>
    <s v="MARCIA"/>
    <x v="3"/>
    <x v="0"/>
    <n v="50000"/>
    <n v="1"/>
    <n v="1"/>
    <n v="34916.54"/>
    <n v="25287.290848000001"/>
    <n v="0"/>
    <n v="27.58"/>
    <n v="27.61"/>
    <n v="519906.67"/>
    <n v="377617.25475399999"/>
    <n v="0"/>
    <n v="27.37"/>
    <n v="1"/>
    <n v="22"/>
    <n v="22"/>
    <n v="65"/>
    <n v="24"/>
    <n v="50000"/>
    <n v="0"/>
    <n v="0"/>
    <n v="24.16"/>
    <n v="2648"/>
    <n v="721000"/>
    <n v="721000"/>
    <n v="519906.67"/>
    <n v="463"/>
    <n v="327"/>
    <n v="463"/>
  </r>
  <r>
    <n v="26"/>
    <x v="4"/>
    <n v="1527"/>
    <s v="JOSE"/>
    <x v="3"/>
    <x v="0"/>
    <n v="45000"/>
    <n v="40"/>
    <n v="40"/>
    <n v="36804.36"/>
    <n v="26597.642592"/>
    <n v="0"/>
    <n v="27.73"/>
    <n v="23.58"/>
    <n v="933054.95"/>
    <n v="710042.85993000004"/>
    <n v="0"/>
    <n v="23.9"/>
    <n v="36"/>
    <n v="22"/>
    <n v="22"/>
    <n v="192"/>
    <n v="6.78"/>
    <n v="45000"/>
    <n v="937.4"/>
    <n v="6"/>
    <n v="26.63"/>
    <n v="2648"/>
    <n v="865000"/>
    <n v="865000"/>
    <n v="830922.56"/>
    <n v="664"/>
    <n v="525"/>
    <n v="664"/>
  </r>
  <r>
    <n v="26"/>
    <x v="4"/>
    <n v="1535"/>
    <s v="ALAN"/>
    <x v="3"/>
    <x v="0"/>
    <n v="45000"/>
    <n v="40"/>
    <n v="40"/>
    <n v="22851.3"/>
    <n v="16777.234380999998"/>
    <n v="0"/>
    <n v="26.58"/>
    <n v="21.83"/>
    <n v="933054.95"/>
    <n v="710042.85993000004"/>
    <n v="0"/>
    <n v="23.9"/>
    <n v="29"/>
    <n v="22"/>
    <n v="22"/>
    <n v="150"/>
    <n v="7.19"/>
    <n v="45000"/>
    <n v="0"/>
    <n v="0"/>
    <n v="26.63"/>
    <n v="2648"/>
    <n v="865000"/>
    <n v="865000"/>
    <n v="830922.56"/>
    <n v="664"/>
    <n v="525"/>
    <n v="664"/>
  </r>
  <r>
    <n v="2"/>
    <x v="0"/>
    <n v="1553"/>
    <s v="JORGE"/>
    <x v="3"/>
    <x v="0"/>
    <n v="50000"/>
    <n v="40"/>
    <n v="40"/>
    <n v="24537.88"/>
    <n v="18798.647466999999"/>
    <n v="0"/>
    <n v="23.39"/>
    <n v="52.09"/>
    <n v="1080228.3700000001"/>
    <n v="810319.896007"/>
    <n v="0"/>
    <n v="24.99"/>
    <n v="13"/>
    <n v="22"/>
    <n v="22"/>
    <n v="53"/>
    <n v="4.29"/>
    <n v="50000"/>
    <n v="0"/>
    <n v="1"/>
    <n v="21.61"/>
    <n v="2648"/>
    <n v="1126000"/>
    <n v="1126000"/>
    <n v="949839.12"/>
    <n v="760"/>
    <n v="477"/>
    <n v="760"/>
  </r>
  <r>
    <n v="4"/>
    <x v="2"/>
    <n v="1557"/>
    <s v="ALEXSANDRA"/>
    <x v="3"/>
    <x v="0"/>
    <n v="109000"/>
    <n v="78"/>
    <n v="78"/>
    <n v="77402.100000000006"/>
    <n v="54911.388756"/>
    <n v="0"/>
    <n v="29.06"/>
    <n v="21.47"/>
    <n v="519906.67"/>
    <n v="377617.25475399999"/>
    <n v="0"/>
    <n v="27.37"/>
    <n v="58"/>
    <n v="22"/>
    <n v="22"/>
    <n v="496"/>
    <n v="15.73"/>
    <n v="109000"/>
    <n v="0"/>
    <n v="0"/>
    <n v="24.16"/>
    <n v="2648"/>
    <n v="721000"/>
    <n v="721000"/>
    <n v="519906.67"/>
    <n v="463"/>
    <n v="327"/>
    <n v="463"/>
  </r>
  <r>
    <n v="4"/>
    <x v="2"/>
    <n v="1558"/>
    <s v="JEFFERSON"/>
    <x v="3"/>
    <x v="0"/>
    <n v="70000"/>
    <n v="60"/>
    <n v="60"/>
    <n v="70171.25"/>
    <n v="48827.203582000002"/>
    <n v="0"/>
    <n v="30.42"/>
    <n v="21.52"/>
    <n v="519906.67"/>
    <n v="377617.25475399999"/>
    <n v="0"/>
    <n v="27.37"/>
    <n v="51"/>
    <n v="22"/>
    <n v="22"/>
    <n v="377"/>
    <n v="10.27"/>
    <n v="70000"/>
    <n v="0"/>
    <n v="0"/>
    <n v="24.16"/>
    <n v="2648"/>
    <n v="721000"/>
    <n v="721000"/>
    <n v="519906.67"/>
    <n v="463"/>
    <n v="327"/>
    <n v="463"/>
  </r>
  <r>
    <n v="4"/>
    <x v="2"/>
    <n v="1559"/>
    <s v="LUAN"/>
    <x v="3"/>
    <x v="0"/>
    <n v="0"/>
    <n v="0"/>
    <n v="0"/>
    <n v="21309.42"/>
    <n v="15605.135554"/>
    <n v="0"/>
    <n v="26.77"/>
    <n v="20.100000000000001"/>
    <n v="519906.67"/>
    <n v="377617.25475399999"/>
    <n v="0"/>
    <n v="27.37"/>
    <n v="24"/>
    <n v="22"/>
    <n v="22"/>
    <n v="301"/>
    <n v="11.44"/>
    <n v="0"/>
    <n v="0"/>
    <n v="0"/>
    <n v="24.16"/>
    <n v="2648"/>
    <n v="721000"/>
    <n v="721000"/>
    <n v="519906.67"/>
    <n v="463"/>
    <n v="327"/>
    <n v="463"/>
  </r>
  <r>
    <n v="26"/>
    <x v="4"/>
    <n v="1565"/>
    <s v="FRANCIELE"/>
    <x v="3"/>
    <x v="0"/>
    <n v="40000"/>
    <n v="1"/>
    <n v="1"/>
    <n v="64697.01"/>
    <n v="48379.106520000001"/>
    <n v="0"/>
    <n v="25.22"/>
    <n v="57.17"/>
    <n v="933054.95"/>
    <n v="710042.85993000004"/>
    <n v="0"/>
    <n v="23.9"/>
    <n v="2"/>
    <n v="22"/>
    <n v="22"/>
    <n v="327"/>
    <n v="103.5"/>
    <n v="40000"/>
    <n v="776.71"/>
    <n v="0"/>
    <n v="26.63"/>
    <n v="2648"/>
    <n v="865000"/>
    <n v="865000"/>
    <n v="830922.56"/>
    <n v="664"/>
    <n v="525"/>
    <n v="664"/>
  </r>
  <r>
    <n v="12"/>
    <x v="6"/>
    <n v="1582"/>
    <s v="KEYLLA"/>
    <x v="3"/>
    <x v="0"/>
    <n v="46000"/>
    <n v="60"/>
    <n v="60"/>
    <n v="37097.870000000003"/>
    <n v="28325.879475999998"/>
    <n v="0"/>
    <n v="23.65"/>
    <n v="15.77"/>
    <n v="328927.56"/>
    <n v="249677.97298300001"/>
    <n v="0"/>
    <n v="24.09"/>
    <n v="60"/>
    <n v="22"/>
    <n v="22"/>
    <n v="211"/>
    <n v="7.14"/>
    <n v="46000"/>
    <n v="365.49"/>
    <n v="5"/>
    <n v="27.59"/>
    <n v="2648"/>
    <n v="645000"/>
    <n v="645000"/>
    <n v="392162.47"/>
    <n v="790"/>
    <n v="478"/>
    <n v="790"/>
  </r>
  <r>
    <n v="4"/>
    <x v="2"/>
    <n v="1583"/>
    <s v="RAUL"/>
    <x v="3"/>
    <x v="0"/>
    <n v="0"/>
    <n v="0"/>
    <n v="0"/>
    <n v="3652.94"/>
    <n v="2376.5936959999999"/>
    <n v="0"/>
    <n v="34.94"/>
    <n v="20.34"/>
    <n v="519906.67"/>
    <n v="377617.25475399999"/>
    <n v="0"/>
    <n v="27.37"/>
    <n v="5"/>
    <n v="22"/>
    <n v="22"/>
    <n v="42"/>
    <n v="9"/>
    <n v="0"/>
    <n v="16.760000000000002"/>
    <n v="0"/>
    <n v="24.16"/>
    <n v="2648"/>
    <n v="721000"/>
    <n v="721000"/>
    <n v="519906.67"/>
    <n v="463"/>
    <n v="327"/>
    <n v="463"/>
  </r>
  <r>
    <n v="6"/>
    <x v="3"/>
    <n v="1585"/>
    <s v="FABIO"/>
    <x v="3"/>
    <x v="0"/>
    <n v="48000"/>
    <n v="45"/>
    <n v="45"/>
    <n v="22474.76"/>
    <n v="16761.631377000002"/>
    <n v="0"/>
    <n v="25.42"/>
    <n v="22.57"/>
    <n v="799790.07999999996"/>
    <n v="605664.57214599999"/>
    <n v="0"/>
    <n v="24.27"/>
    <n v="32"/>
    <n v="22"/>
    <n v="22"/>
    <n v="217"/>
    <n v="10.09"/>
    <n v="48000"/>
    <n v="388.75"/>
    <n v="1"/>
    <n v="20.43"/>
    <n v="2648"/>
    <n v="1006000"/>
    <n v="1006000"/>
    <n v="697731.87"/>
    <n v="899"/>
    <n v="589"/>
    <n v="899"/>
  </r>
  <r>
    <n v="20"/>
    <x v="7"/>
    <n v="1590"/>
    <s v="CARLOS"/>
    <x v="3"/>
    <x v="0"/>
    <n v="185000"/>
    <n v="180"/>
    <n v="180"/>
    <n v="5993.31"/>
    <n v="5293.4835210000001"/>
    <n v="0"/>
    <n v="11.68"/>
    <n v="45.43"/>
    <n v="332890.5"/>
    <n v="251273.091338"/>
    <n v="0"/>
    <n v="24.52"/>
    <n v="4"/>
    <n v="22"/>
    <n v="22"/>
    <n v="10"/>
    <n v="1.71"/>
    <n v="185000"/>
    <n v="0"/>
    <n v="0"/>
    <n v="31.26"/>
    <n v="2648"/>
    <n v="275000"/>
    <n v="275000"/>
    <n v="68510.98"/>
    <n v="260"/>
    <n v="68"/>
    <n v="260"/>
  </r>
  <r>
    <n v="10"/>
    <x v="1"/>
    <n v="1591"/>
    <s v="ELRIK"/>
    <x v="3"/>
    <x v="0"/>
    <n v="65000"/>
    <n v="50"/>
    <n v="50"/>
    <n v="46119.7"/>
    <n v="35364.870712000004"/>
    <n v="0"/>
    <n v="23.32"/>
    <n v="19.05"/>
    <n v="0"/>
    <n v="0"/>
    <n v="0"/>
    <n v="0"/>
    <n v="55"/>
    <n v="22"/>
    <n v="22"/>
    <n v="363"/>
    <n v="11.45"/>
    <n v="65000"/>
    <n v="0"/>
    <n v="3"/>
    <n v="0"/>
    <n v="2648"/>
    <n v="610000"/>
    <n v="610000"/>
    <n v="494578.26"/>
    <n v="471"/>
    <n v="461"/>
    <n v="471"/>
  </r>
  <r>
    <n v="5"/>
    <x v="5"/>
    <n v="1593"/>
    <s v="DAIZA"/>
    <x v="3"/>
    <x v="0"/>
    <n v="115000"/>
    <n v="50"/>
    <n v="50"/>
    <n v="115724.83"/>
    <n v="86897.631521000003"/>
    <n v="0"/>
    <n v="24.91"/>
    <n v="34.56"/>
    <n v="350890.02"/>
    <n v="267719.45955999999"/>
    <n v="0"/>
    <n v="23.7"/>
    <n v="51"/>
    <n v="22"/>
    <n v="22"/>
    <n v="482"/>
    <n v="9.7899999999999991"/>
    <n v="115000"/>
    <n v="5.71"/>
    <n v="1"/>
    <n v="23"/>
    <n v="2648"/>
    <n v="380000"/>
    <n v="380000"/>
    <n v="287655.11"/>
    <n v="160"/>
    <n v="99"/>
    <n v="160"/>
  </r>
  <r>
    <n v="12"/>
    <x v="6"/>
    <n v="1594"/>
    <s v="EDILENE"/>
    <x v="3"/>
    <x v="0"/>
    <n v="46000"/>
    <n v="60"/>
    <n v="60"/>
    <n v="38232.550000000003"/>
    <n v="28749.223405000001"/>
    <n v="0"/>
    <n v="24.8"/>
    <n v="18.28"/>
    <n v="328927.56"/>
    <n v="249677.97298300001"/>
    <n v="0"/>
    <n v="24.09"/>
    <n v="36"/>
    <n v="22"/>
    <n v="22"/>
    <n v="223"/>
    <n v="9.33"/>
    <n v="46000"/>
    <n v="266.3"/>
    <n v="1"/>
    <n v="27.59"/>
    <n v="2648"/>
    <n v="645000"/>
    <n v="645000"/>
    <n v="392162.47"/>
    <n v="790"/>
    <n v="478"/>
    <n v="790"/>
  </r>
  <r>
    <n v="17"/>
    <x v="8"/>
    <n v="1596"/>
    <s v="HEDERSON"/>
    <x v="3"/>
    <x v="0"/>
    <n v="45000"/>
    <n v="40"/>
    <n v="40"/>
    <n v="9322.75"/>
    <n v="6198.9610970000003"/>
    <n v="0"/>
    <n v="33.51"/>
    <n v="46.47"/>
    <n v="326151.40000000002"/>
    <n v="231237.277481"/>
    <n v="0"/>
    <n v="29.1"/>
    <n v="4"/>
    <n v="22"/>
    <n v="22"/>
    <n v="46"/>
    <n v="9.4"/>
    <n v="45000"/>
    <n v="0"/>
    <n v="0"/>
    <n v="23.12"/>
    <n v="2648"/>
    <n v="573000"/>
    <n v="573000"/>
    <n v="326151.40000000002"/>
    <n v="315"/>
    <n v="139"/>
    <n v="315"/>
  </r>
  <r>
    <n v="20"/>
    <x v="7"/>
    <n v="1597"/>
    <s v="ROSINELIO"/>
    <x v="3"/>
    <x v="0"/>
    <n v="0"/>
    <n v="0"/>
    <n v="0"/>
    <n v="12382.59"/>
    <n v="9616.7468169999993"/>
    <n v="0"/>
    <n v="22.34"/>
    <n v="33.26"/>
    <n v="332890.5"/>
    <n v="251273.091338"/>
    <n v="0"/>
    <n v="24.52"/>
    <n v="13"/>
    <n v="22"/>
    <n v="22"/>
    <n v="34"/>
    <n v="3.23"/>
    <n v="0"/>
    <n v="2095.2199999999998"/>
    <n v="3"/>
    <n v="31.26"/>
    <n v="2648"/>
    <n v="275000"/>
    <n v="275000"/>
    <n v="68510.98"/>
    <n v="260"/>
    <n v="68"/>
    <n v="260"/>
  </r>
  <r>
    <n v="2"/>
    <x v="0"/>
    <n v="1598"/>
    <s v="THIAGO"/>
    <x v="3"/>
    <x v="0"/>
    <n v="0"/>
    <n v="0"/>
    <n v="0"/>
    <n v="7327.92"/>
    <n v="5688.6559029999999"/>
    <n v="0"/>
    <n v="22.37"/>
    <n v="8.77"/>
    <n v="1080228.3700000001"/>
    <n v="810319.896007"/>
    <n v="0"/>
    <n v="24.99"/>
    <n v="10"/>
    <n v="22"/>
    <n v="22"/>
    <n v="115"/>
    <n v="13.91"/>
    <n v="0"/>
    <n v="1353.93"/>
    <n v="0"/>
    <n v="21.61"/>
    <n v="2648"/>
    <n v="1126000"/>
    <n v="1126000"/>
    <n v="949839.12"/>
    <n v="760"/>
    <n v="477"/>
    <n v="760"/>
  </r>
  <r>
    <n v="20"/>
    <x v="7"/>
    <n v="1599"/>
    <s v="ALEXANDRE"/>
    <x v="3"/>
    <x v="0"/>
    <n v="45000"/>
    <n v="40"/>
    <n v="40"/>
    <n v="26403.59"/>
    <n v="19654.011192000002"/>
    <n v="0"/>
    <n v="25.56"/>
    <n v="35.700000000000003"/>
    <n v="332890.5"/>
    <n v="251273.091338"/>
    <n v="0"/>
    <n v="24.52"/>
    <n v="20"/>
    <n v="22"/>
    <n v="22"/>
    <n v="149"/>
    <n v="7.96"/>
    <n v="45000"/>
    <n v="351.47"/>
    <n v="2"/>
    <n v="31.26"/>
    <n v="2648"/>
    <n v="275000"/>
    <n v="275000"/>
    <n v="68510.98"/>
    <n v="260"/>
    <n v="68"/>
    <n v="260"/>
  </r>
  <r>
    <n v="17"/>
    <x v="8"/>
    <n v="1601"/>
    <s v="ALIDA"/>
    <x v="3"/>
    <x v="0"/>
    <n v="0"/>
    <n v="0"/>
    <n v="0"/>
    <n v="9330.0300000000007"/>
    <n v="6504.3872920000003"/>
    <n v="0"/>
    <n v="30.29"/>
    <n v="26.9"/>
    <n v="326151.40000000002"/>
    <n v="231237.277481"/>
    <n v="0"/>
    <n v="29.1"/>
    <n v="4"/>
    <n v="22"/>
    <n v="22"/>
    <n v="120"/>
    <n v="25.4"/>
    <n v="0"/>
    <n v="0"/>
    <n v="0"/>
    <n v="23.12"/>
    <n v="2648"/>
    <n v="573000"/>
    <n v="573000"/>
    <n v="326151.40000000002"/>
    <n v="315"/>
    <n v="139"/>
    <n v="315"/>
  </r>
  <r>
    <n v="6"/>
    <x v="3"/>
    <n v="1602"/>
    <s v="ERIC"/>
    <x v="3"/>
    <x v="0"/>
    <n v="45000"/>
    <n v="40"/>
    <n v="40"/>
    <n v="20299.77"/>
    <n v="14480.112074999999"/>
    <n v="0"/>
    <n v="28.67"/>
    <n v="27.46"/>
    <n v="799790.07999999996"/>
    <n v="605664.57214599999"/>
    <n v="0"/>
    <n v="24.27"/>
    <n v="21"/>
    <n v="22"/>
    <n v="22"/>
    <n v="168"/>
    <n v="9.6300000000000008"/>
    <n v="45000"/>
    <n v="0"/>
    <n v="5"/>
    <n v="20.43"/>
    <n v="2648"/>
    <n v="1006000"/>
    <n v="1006000"/>
    <n v="697731.87"/>
    <n v="899"/>
    <n v="589"/>
    <n v="899"/>
  </r>
  <r>
    <n v="4"/>
    <x v="2"/>
    <n v="1604"/>
    <s v="GLEYBSON"/>
    <x v="3"/>
    <x v="0"/>
    <n v="0"/>
    <n v="0"/>
    <n v="0"/>
    <n v="1995.9"/>
    <n v="1289.3720269999999"/>
    <n v="0"/>
    <n v="35.4"/>
    <n v="40"/>
    <n v="519906.67"/>
    <n v="377617.25475399999"/>
    <n v="0"/>
    <n v="27.37"/>
    <n v="1"/>
    <n v="22"/>
    <n v="22"/>
    <n v="11"/>
    <n v="11"/>
    <n v="0"/>
    <n v="0"/>
    <n v="0"/>
    <n v="24.16"/>
    <n v="2648"/>
    <n v="721000"/>
    <n v="721000"/>
    <n v="519906.67"/>
    <n v="463"/>
    <n v="327"/>
    <n v="463"/>
  </r>
  <r>
    <n v="10"/>
    <x v="1"/>
    <n v="1605"/>
    <s v="SARA"/>
    <x v="3"/>
    <x v="0"/>
    <n v="100000"/>
    <n v="61"/>
    <n v="61"/>
    <n v="71432.320000000007"/>
    <n v="55185.089789999998"/>
    <n v="0"/>
    <n v="22.74"/>
    <n v="31.99"/>
    <n v="0"/>
    <n v="0"/>
    <n v="0"/>
    <n v="0"/>
    <n v="54"/>
    <n v="22"/>
    <n v="22"/>
    <n v="226"/>
    <n v="9.9"/>
    <n v="100000"/>
    <n v="78.06"/>
    <n v="1"/>
    <n v="0"/>
    <n v="2648"/>
    <n v="610000"/>
    <n v="610000"/>
    <n v="494578.26"/>
    <n v="471"/>
    <n v="461"/>
    <n v="471"/>
  </r>
  <r>
    <n v="17"/>
    <x v="8"/>
    <n v="1607"/>
    <s v="IVANEI"/>
    <x v="3"/>
    <x v="0"/>
    <n v="0"/>
    <n v="0"/>
    <n v="0"/>
    <n v="7798.37"/>
    <n v="5658.6514719999996"/>
    <n v="0"/>
    <n v="27.44"/>
    <n v="20.21"/>
    <n v="326151.40000000002"/>
    <n v="231237.277481"/>
    <n v="0"/>
    <n v="29.1"/>
    <n v="10"/>
    <n v="22"/>
    <n v="22"/>
    <n v="98"/>
    <n v="10.82"/>
    <n v="0"/>
    <n v="0"/>
    <n v="0"/>
    <n v="23.12"/>
    <n v="2648"/>
    <n v="573000"/>
    <n v="573000"/>
    <n v="326151.40000000002"/>
    <n v="315"/>
    <n v="139"/>
    <n v="315"/>
  </r>
  <r>
    <n v="17"/>
    <x v="8"/>
    <n v="1608"/>
    <s v="DEUZIANI"/>
    <x v="3"/>
    <x v="0"/>
    <n v="75000"/>
    <n v="43"/>
    <n v="43"/>
    <n v="52309.1"/>
    <n v="37284.527812"/>
    <n v="0"/>
    <n v="28.72"/>
    <n v="21.09"/>
    <n v="326151.40000000002"/>
    <n v="231237.277481"/>
    <n v="0"/>
    <n v="29.1"/>
    <n v="22"/>
    <n v="22"/>
    <n v="22"/>
    <n v="210"/>
    <n v="16.62"/>
    <n v="75000"/>
    <n v="0"/>
    <n v="1"/>
    <n v="23.12"/>
    <n v="2648"/>
    <n v="573000"/>
    <n v="573000"/>
    <n v="326151.40000000002"/>
    <n v="315"/>
    <n v="139"/>
    <n v="315"/>
  </r>
  <r>
    <n v="12"/>
    <x v="6"/>
    <n v="1609"/>
    <s v="DENYSON"/>
    <x v="3"/>
    <x v="0"/>
    <n v="32000"/>
    <n v="40"/>
    <n v="40"/>
    <n v="27422.43"/>
    <n v="20780.489216999998"/>
    <n v="0"/>
    <n v="24.22"/>
    <n v="12.73"/>
    <n v="328927.56"/>
    <n v="249677.97298300001"/>
    <n v="0"/>
    <n v="24.09"/>
    <n v="43"/>
    <n v="22"/>
    <n v="22"/>
    <n v="193"/>
    <n v="10.71"/>
    <n v="32000"/>
    <n v="0"/>
    <n v="0"/>
    <n v="27.59"/>
    <n v="2648"/>
    <n v="645000"/>
    <n v="645000"/>
    <n v="392162.47"/>
    <n v="790"/>
    <n v="478"/>
    <n v="790"/>
  </r>
  <r>
    <n v="12"/>
    <x v="6"/>
    <n v="1610"/>
    <s v="CLAUDINEY"/>
    <x v="3"/>
    <x v="0"/>
    <n v="25000"/>
    <n v="35"/>
    <n v="35"/>
    <n v="20573.669999999998"/>
    <n v="15517.11349"/>
    <n v="0"/>
    <n v="24.58"/>
    <n v="12.24"/>
    <n v="328927.56"/>
    <n v="249677.97298300001"/>
    <n v="0"/>
    <n v="24.09"/>
    <n v="25"/>
    <n v="22"/>
    <n v="22"/>
    <n v="114"/>
    <n v="8.5299999999999994"/>
    <n v="25000"/>
    <n v="28.99"/>
    <n v="0"/>
    <n v="27.59"/>
    <n v="2648"/>
    <n v="645000"/>
    <n v="645000"/>
    <n v="392162.47"/>
    <n v="790"/>
    <n v="478"/>
    <n v="790"/>
  </r>
  <r>
    <n v="10"/>
    <x v="1"/>
    <n v="1611"/>
    <s v="JUAM"/>
    <x v="3"/>
    <x v="0"/>
    <n v="25000"/>
    <n v="25"/>
    <n v="25"/>
    <n v="10935.47"/>
    <n v="8241.9216190000006"/>
    <n v="0"/>
    <n v="24.63"/>
    <n v="21.55"/>
    <n v="0"/>
    <n v="0"/>
    <n v="0"/>
    <n v="0"/>
    <n v="15"/>
    <n v="22"/>
    <n v="22"/>
    <n v="89"/>
    <n v="10.06"/>
    <n v="25000"/>
    <n v="0"/>
    <n v="0"/>
    <n v="0"/>
    <n v="2648"/>
    <n v="610000"/>
    <n v="610000"/>
    <n v="494578.26"/>
    <n v="471"/>
    <n v="461"/>
    <n v="471"/>
  </r>
  <r>
    <n v="2"/>
    <x v="0"/>
    <n v="28"/>
    <s v="RAIMUNDO"/>
    <x v="4"/>
    <x v="0"/>
    <n v="0"/>
    <n v="0"/>
    <n v="0"/>
    <n v="321.87"/>
    <n v="2059.6563740000001"/>
    <n v="0"/>
    <n v="-539.9"/>
    <n v="4.3"/>
    <n v="879806.8"/>
    <n v="661206.86622500001"/>
    <n v="0"/>
    <n v="24.85"/>
    <n v="1"/>
    <n v="21"/>
    <n v="21"/>
    <n v="58"/>
    <n v="2.77"/>
    <n v="0"/>
    <n v="0"/>
    <n v="0"/>
    <n v="21.5"/>
    <n v="2975"/>
    <n v="1000000"/>
    <n v="1000000"/>
    <n v="881745.46"/>
    <n v="673"/>
    <n v="537"/>
    <n v="673"/>
  </r>
  <r>
    <n v="10"/>
    <x v="1"/>
    <n v="314"/>
    <s v="JOSE"/>
    <x v="4"/>
    <x v="0"/>
    <n v="90000"/>
    <n v="65"/>
    <n v="65"/>
    <n v="84179.49"/>
    <n v="63223.043278999998"/>
    <n v="0"/>
    <n v="24.89"/>
    <n v="21.37"/>
    <n v="609402.81000000006"/>
    <n v="466447.92965499999"/>
    <n v="0"/>
    <n v="23.46"/>
    <n v="68"/>
    <n v="21"/>
    <n v="21"/>
    <n v="331"/>
    <n v="8.7200000000000006"/>
    <n v="90000"/>
    <n v="189"/>
    <n v="0"/>
    <n v="22.93"/>
    <n v="2975"/>
    <n v="690000"/>
    <n v="690000"/>
    <n v="609402.81000000006"/>
    <n v="540"/>
    <n v="502"/>
    <n v="540"/>
  </r>
  <r>
    <n v="4"/>
    <x v="2"/>
    <n v="374"/>
    <s v="EDVALDO"/>
    <x v="4"/>
    <x v="0"/>
    <n v="10000"/>
    <n v="10"/>
    <n v="10"/>
    <n v="19911.89"/>
    <n v="14274.724770999999"/>
    <n v="0"/>
    <n v="28.31"/>
    <n v="48.34"/>
    <n v="648535.30000000005"/>
    <n v="472008.05384399998"/>
    <n v="0"/>
    <n v="27.22"/>
    <n v="8"/>
    <n v="21"/>
    <n v="21"/>
    <n v="72"/>
    <n v="4.09"/>
    <n v="10000"/>
    <n v="0"/>
    <n v="0"/>
    <n v="24.13"/>
    <n v="2975"/>
    <n v="639000"/>
    <n v="639000"/>
    <n v="648535.30000000005"/>
    <n v="423"/>
    <n v="372"/>
    <n v="423"/>
  </r>
  <r>
    <n v="2"/>
    <x v="0"/>
    <n v="423"/>
    <s v="LENIVAL"/>
    <x v="4"/>
    <x v="0"/>
    <n v="100000"/>
    <n v="70"/>
    <n v="70"/>
    <n v="83192.97"/>
    <n v="60689.624173999997"/>
    <n v="0"/>
    <n v="27.05"/>
    <n v="17.79"/>
    <n v="879806.8"/>
    <n v="661206.86622500001"/>
    <n v="0"/>
    <n v="24.85"/>
    <n v="59"/>
    <n v="21"/>
    <n v="21"/>
    <n v="363"/>
    <n v="11.07"/>
    <n v="100000"/>
    <n v="1287.32"/>
    <n v="0"/>
    <n v="21.5"/>
    <n v="2975"/>
    <n v="1000000"/>
    <n v="1000000"/>
    <n v="881745.46"/>
    <n v="673"/>
    <n v="537"/>
    <n v="673"/>
  </r>
  <r>
    <n v="6"/>
    <x v="3"/>
    <n v="465"/>
    <s v="FELIPE"/>
    <x v="4"/>
    <x v="0"/>
    <n v="85000"/>
    <n v="82"/>
    <n v="82"/>
    <n v="80714.64"/>
    <n v="60688.222467"/>
    <n v="0"/>
    <n v="24.81"/>
    <n v="14.3"/>
    <n v="677557.13"/>
    <n v="511766.357211"/>
    <n v="0"/>
    <n v="24.47"/>
    <n v="74"/>
    <n v="21"/>
    <n v="21"/>
    <n v="187"/>
    <n v="6.64"/>
    <n v="85000"/>
    <n v="564.41"/>
    <n v="1"/>
    <n v="18.489999999999998"/>
    <n v="2975"/>
    <n v="995000"/>
    <n v="995000"/>
    <n v="758102.34"/>
    <n v="860"/>
    <n v="634"/>
    <n v="860"/>
  </r>
  <r>
    <n v="6"/>
    <x v="3"/>
    <n v="481"/>
    <s v="LUIZ"/>
    <x v="4"/>
    <x v="0"/>
    <n v="50000"/>
    <n v="40"/>
    <n v="40"/>
    <n v="50270.8"/>
    <n v="38534.643248"/>
    <n v="0"/>
    <n v="23.35"/>
    <n v="22.72"/>
    <n v="677557.13"/>
    <n v="511766.357211"/>
    <n v="0"/>
    <n v="24.47"/>
    <n v="35"/>
    <n v="21"/>
    <n v="21"/>
    <n v="221"/>
    <n v="8.07"/>
    <n v="50000"/>
    <n v="0"/>
    <n v="2"/>
    <n v="18.489999999999998"/>
    <n v="2975"/>
    <n v="995000"/>
    <n v="995000"/>
    <n v="758102.34"/>
    <n v="860"/>
    <n v="634"/>
    <n v="860"/>
  </r>
  <r>
    <n v="2"/>
    <x v="0"/>
    <n v="520"/>
    <s v="AILTON"/>
    <x v="4"/>
    <x v="0"/>
    <n v="100000"/>
    <n v="69"/>
    <n v="69"/>
    <n v="71346.009999999995"/>
    <n v="52960.437012000002"/>
    <n v="0"/>
    <n v="25.77"/>
    <n v="26.04"/>
    <n v="879806.8"/>
    <n v="661206.86622500001"/>
    <n v="0"/>
    <n v="24.85"/>
    <n v="38"/>
    <n v="21"/>
    <n v="21"/>
    <n v="334"/>
    <n v="13.61"/>
    <n v="100000"/>
    <n v="2711.83"/>
    <n v="0"/>
    <n v="21.5"/>
    <n v="2975"/>
    <n v="1000000"/>
    <n v="1000000"/>
    <n v="881745.46"/>
    <n v="673"/>
    <n v="537"/>
    <n v="673"/>
  </r>
  <r>
    <n v="2"/>
    <x v="0"/>
    <n v="577"/>
    <s v="NELITON"/>
    <x v="4"/>
    <x v="0"/>
    <n v="100000"/>
    <n v="15"/>
    <n v="15"/>
    <n v="111785.39"/>
    <n v="86492.820590000003"/>
    <n v="0"/>
    <n v="22.63"/>
    <n v="17.61"/>
    <n v="879806.8"/>
    <n v="661206.86622500001"/>
    <n v="0"/>
    <n v="24.85"/>
    <n v="15"/>
    <n v="21"/>
    <n v="21"/>
    <n v="164"/>
    <n v="7.51"/>
    <n v="100000"/>
    <n v="0"/>
    <n v="0"/>
    <n v="21.5"/>
    <n v="2975"/>
    <n v="1000000"/>
    <n v="1000000"/>
    <n v="881745.46"/>
    <n v="673"/>
    <n v="537"/>
    <n v="673"/>
  </r>
  <r>
    <n v="6"/>
    <x v="3"/>
    <n v="580"/>
    <s v="GILSON"/>
    <x v="4"/>
    <x v="0"/>
    <n v="100000"/>
    <n v="100"/>
    <n v="100"/>
    <n v="20550.66"/>
    <n v="15096.465717999999"/>
    <n v="0"/>
    <n v="26.54"/>
    <n v="21.13"/>
    <n v="677557.13"/>
    <n v="511766.357211"/>
    <n v="0"/>
    <n v="24.47"/>
    <n v="31"/>
    <n v="21"/>
    <n v="21"/>
    <n v="143"/>
    <n v="9.26"/>
    <n v="100000"/>
    <n v="58.62"/>
    <n v="0"/>
    <n v="18.489999999999998"/>
    <n v="2975"/>
    <n v="995000"/>
    <n v="995000"/>
    <n v="758102.34"/>
    <n v="860"/>
    <n v="634"/>
    <n v="860"/>
  </r>
  <r>
    <n v="6"/>
    <x v="3"/>
    <n v="644"/>
    <s v="LUCIANO"/>
    <x v="4"/>
    <x v="0"/>
    <n v="53000"/>
    <n v="0"/>
    <n v="0"/>
    <n v="0"/>
    <n v="2021.924489"/>
    <n v="0"/>
    <n v="0"/>
    <n v="1"/>
    <n v="677557.13"/>
    <n v="511766.357211"/>
    <n v="0"/>
    <n v="24.47"/>
    <n v="0"/>
    <n v="21"/>
    <n v="21"/>
    <n v="21"/>
    <n v="2.42"/>
    <n v="53000"/>
    <n v="0"/>
    <n v="0"/>
    <n v="18.489999999999998"/>
    <n v="2975"/>
    <n v="995000"/>
    <n v="995000"/>
    <n v="758102.34"/>
    <n v="860"/>
    <n v="634"/>
    <n v="860"/>
  </r>
  <r>
    <n v="26"/>
    <x v="4"/>
    <n v="661"/>
    <s v="LUCIO"/>
    <x v="4"/>
    <x v="0"/>
    <n v="120000"/>
    <n v="86"/>
    <n v="86"/>
    <n v="213866.69"/>
    <n v="160973.17352700001"/>
    <n v="0"/>
    <n v="24.73"/>
    <n v="25.72"/>
    <n v="848979.92"/>
    <n v="646957.69484799996"/>
    <n v="0"/>
    <n v="23.8"/>
    <n v="76"/>
    <n v="21"/>
    <n v="21"/>
    <n v="298"/>
    <n v="12.32"/>
    <n v="120000"/>
    <n v="295.38"/>
    <n v="0"/>
    <n v="25.69"/>
    <n v="2975"/>
    <n v="895000"/>
    <n v="895000"/>
    <n v="939476.75"/>
    <n v="664"/>
    <n v="629"/>
    <n v="664"/>
  </r>
  <r>
    <n v="2"/>
    <x v="0"/>
    <n v="690"/>
    <s v="MARCIO"/>
    <x v="4"/>
    <x v="0"/>
    <n v="100000"/>
    <n v="90"/>
    <n v="90"/>
    <n v="119070.55"/>
    <n v="89414.805030999996"/>
    <n v="0"/>
    <n v="24.91"/>
    <n v="21.58"/>
    <n v="879806.8"/>
    <n v="661206.86622500001"/>
    <n v="0"/>
    <n v="24.85"/>
    <n v="90"/>
    <n v="21"/>
    <n v="21"/>
    <n v="431"/>
    <n v="11.58"/>
    <n v="100000"/>
    <n v="135.80000000000001"/>
    <n v="0"/>
    <n v="21.5"/>
    <n v="2975"/>
    <n v="1000000"/>
    <n v="1000000"/>
    <n v="881745.46"/>
    <n v="673"/>
    <n v="537"/>
    <n v="673"/>
  </r>
  <r>
    <n v="6"/>
    <x v="3"/>
    <n v="704"/>
    <s v="GLEIDSON"/>
    <x v="4"/>
    <x v="0"/>
    <n v="0"/>
    <n v="0"/>
    <n v="0"/>
    <n v="0"/>
    <n v="485.76117199999999"/>
    <n v="0"/>
    <n v="0"/>
    <n v="1"/>
    <n v="677557.13"/>
    <n v="511766.357211"/>
    <n v="0"/>
    <n v="24.47"/>
    <n v="0"/>
    <n v="21"/>
    <n v="21"/>
    <n v="4"/>
    <n v="1"/>
    <n v="0"/>
    <n v="0"/>
    <n v="0"/>
    <n v="18.489999999999998"/>
    <n v="2975"/>
    <n v="995000"/>
    <n v="995000"/>
    <n v="758102.34"/>
    <n v="860"/>
    <n v="634"/>
    <n v="860"/>
  </r>
  <r>
    <n v="26"/>
    <x v="4"/>
    <n v="705"/>
    <s v="HENRIQUERSON"/>
    <x v="4"/>
    <x v="0"/>
    <n v="100000"/>
    <n v="35"/>
    <n v="35"/>
    <n v="52886.68"/>
    <n v="40885.667237000001"/>
    <n v="0"/>
    <n v="22.69"/>
    <n v="29.93"/>
    <n v="848979.92"/>
    <n v="646957.69484799996"/>
    <n v="0"/>
    <n v="23.8"/>
    <n v="35"/>
    <n v="21"/>
    <n v="21"/>
    <n v="339"/>
    <n v="10.93"/>
    <n v="100000"/>
    <n v="0"/>
    <n v="0"/>
    <n v="25.69"/>
    <n v="2975"/>
    <n v="895000"/>
    <n v="895000"/>
    <n v="939476.75"/>
    <n v="664"/>
    <n v="629"/>
    <n v="664"/>
  </r>
  <r>
    <n v="2"/>
    <x v="0"/>
    <n v="756"/>
    <s v="EDERLEI"/>
    <x v="4"/>
    <x v="0"/>
    <n v="100000"/>
    <n v="60"/>
    <n v="60"/>
    <n v="61271.67"/>
    <n v="47060.186890999998"/>
    <n v="0"/>
    <n v="23.19"/>
    <n v="23.68"/>
    <n v="879806.8"/>
    <n v="661206.86622500001"/>
    <n v="0"/>
    <n v="24.85"/>
    <n v="47"/>
    <n v="21"/>
    <n v="21"/>
    <n v="369"/>
    <n v="11.47"/>
    <n v="100000"/>
    <n v="80.33"/>
    <n v="3"/>
    <n v="21.5"/>
    <n v="2975"/>
    <n v="1000000"/>
    <n v="1000000"/>
    <n v="881745.46"/>
    <n v="673"/>
    <n v="537"/>
    <n v="673"/>
  </r>
  <r>
    <n v="26"/>
    <x v="4"/>
    <n v="759"/>
    <s v="FRANCISCA"/>
    <x v="4"/>
    <x v="0"/>
    <n v="50000"/>
    <n v="49"/>
    <n v="49"/>
    <n v="50551.06"/>
    <n v="38177.835625"/>
    <n v="0"/>
    <n v="24.48"/>
    <n v="18.86"/>
    <n v="848979.92"/>
    <n v="646957.69484799996"/>
    <n v="0"/>
    <n v="23.8"/>
    <n v="49"/>
    <n v="21"/>
    <n v="21"/>
    <n v="255"/>
    <n v="10.55"/>
    <n v="50000"/>
    <n v="328.73"/>
    <n v="1"/>
    <n v="25.69"/>
    <n v="2975"/>
    <n v="895000"/>
    <n v="895000"/>
    <n v="939476.75"/>
    <n v="664"/>
    <n v="629"/>
    <n v="664"/>
  </r>
  <r>
    <n v="5"/>
    <x v="5"/>
    <n v="760"/>
    <s v="JEAN"/>
    <x v="4"/>
    <x v="0"/>
    <n v="147000"/>
    <n v="30"/>
    <n v="30"/>
    <n v="176399.63"/>
    <n v="135077.46394799999"/>
    <n v="0"/>
    <n v="23.43"/>
    <n v="41.46"/>
    <n v="371495.64"/>
    <n v="286140.14858500002"/>
    <n v="0"/>
    <n v="22.98"/>
    <n v="32"/>
    <n v="21"/>
    <n v="21"/>
    <n v="138"/>
    <n v="5.94"/>
    <n v="147000"/>
    <n v="13692.6"/>
    <n v="0"/>
    <n v="35.86"/>
    <n v="2975"/>
    <n v="332000"/>
    <n v="332000"/>
    <n v="371495.64"/>
    <n v="100"/>
    <n v="104"/>
    <n v="100"/>
  </r>
  <r>
    <n v="6"/>
    <x v="3"/>
    <n v="764"/>
    <s v="JORGE"/>
    <x v="4"/>
    <x v="0"/>
    <n v="108000"/>
    <n v="83"/>
    <n v="83"/>
    <n v="118763.6"/>
    <n v="89647.400359000007"/>
    <n v="0"/>
    <n v="24.52"/>
    <n v="19.53"/>
    <n v="677557.13"/>
    <n v="511766.357211"/>
    <n v="0"/>
    <n v="24.47"/>
    <n v="83"/>
    <n v="21"/>
    <n v="21"/>
    <n v="541"/>
    <n v="12.63"/>
    <n v="108000"/>
    <n v="66.58"/>
    <n v="0"/>
    <n v="18.489999999999998"/>
    <n v="2975"/>
    <n v="995000"/>
    <n v="995000"/>
    <n v="758102.34"/>
    <n v="860"/>
    <n v="634"/>
    <n v="860"/>
  </r>
  <r>
    <n v="26"/>
    <x v="4"/>
    <n v="796"/>
    <s v="PEDRO"/>
    <x v="4"/>
    <x v="0"/>
    <n v="37000"/>
    <n v="2"/>
    <n v="2"/>
    <n v="59095.92"/>
    <n v="48834.852794999999"/>
    <n v="0"/>
    <n v="17.36"/>
    <n v="42.24"/>
    <n v="848979.92"/>
    <n v="646957.69484799996"/>
    <n v="0"/>
    <n v="23.8"/>
    <n v="1"/>
    <n v="21"/>
    <n v="21"/>
    <n v="242"/>
    <n v="10.119999999999999"/>
    <n v="37000"/>
    <n v="625.77"/>
    <n v="0"/>
    <n v="25.69"/>
    <n v="2975"/>
    <n v="895000"/>
    <n v="895000"/>
    <n v="939476.75"/>
    <n v="664"/>
    <n v="629"/>
    <n v="664"/>
  </r>
  <r>
    <n v="12"/>
    <x v="6"/>
    <n v="800"/>
    <s v="WANDERSON"/>
    <x v="4"/>
    <x v="0"/>
    <n v="70000"/>
    <n v="70"/>
    <n v="70"/>
    <n v="32010.07"/>
    <n v="24593.672216999999"/>
    <n v="0"/>
    <n v="23.17"/>
    <n v="12.18"/>
    <n v="317813.88"/>
    <n v="244628.84228700001"/>
    <n v="0"/>
    <n v="23.03"/>
    <n v="56"/>
    <n v="21"/>
    <n v="21"/>
    <n v="311"/>
    <n v="9.0399999999999991"/>
    <n v="70000"/>
    <n v="899.29"/>
    <n v="1"/>
    <n v="16.41"/>
    <n v="2975"/>
    <n v="634000"/>
    <n v="634000"/>
    <n v="317813.88"/>
    <n v="715"/>
    <n v="467"/>
    <n v="715"/>
  </r>
  <r>
    <n v="2"/>
    <x v="0"/>
    <n v="817"/>
    <s v="GUTEMBERG"/>
    <x v="4"/>
    <x v="0"/>
    <n v="100000"/>
    <n v="70"/>
    <n v="70"/>
    <n v="123816.41"/>
    <n v="91330.027220999997"/>
    <n v="0"/>
    <n v="26.24"/>
    <n v="21.33"/>
    <n v="879806.8"/>
    <n v="661206.86622500001"/>
    <n v="0"/>
    <n v="24.85"/>
    <n v="71"/>
    <n v="21"/>
    <n v="21"/>
    <n v="427"/>
    <n v="14.2"/>
    <n v="100000"/>
    <n v="170.6"/>
    <n v="0"/>
    <n v="21.5"/>
    <n v="2975"/>
    <n v="1000000"/>
    <n v="1000000"/>
    <n v="881745.46"/>
    <n v="673"/>
    <n v="537"/>
    <n v="673"/>
  </r>
  <r>
    <n v="12"/>
    <x v="6"/>
    <n v="853"/>
    <s v="KELLY"/>
    <x v="4"/>
    <x v="0"/>
    <n v="55000"/>
    <n v="65"/>
    <n v="65"/>
    <n v="31239.33"/>
    <n v="24090.594527000001"/>
    <n v="0"/>
    <n v="22.88"/>
    <n v="14.08"/>
    <n v="317813.88"/>
    <n v="244628.84228700001"/>
    <n v="0"/>
    <n v="23.03"/>
    <n v="42"/>
    <n v="21"/>
    <n v="21"/>
    <n v="284"/>
    <n v="11.23"/>
    <n v="55000"/>
    <n v="364.24"/>
    <n v="0"/>
    <n v="16.41"/>
    <n v="2975"/>
    <n v="634000"/>
    <n v="634000"/>
    <n v="317813.88"/>
    <n v="715"/>
    <n v="467"/>
    <n v="715"/>
  </r>
  <r>
    <n v="12"/>
    <x v="6"/>
    <n v="884"/>
    <s v="JOILSON"/>
    <x v="4"/>
    <x v="0"/>
    <n v="30000"/>
    <n v="30"/>
    <n v="30"/>
    <n v="0"/>
    <n v="2105.4779229999999"/>
    <n v="0"/>
    <n v="0"/>
    <n v="1"/>
    <n v="317813.88"/>
    <n v="244628.84228700001"/>
    <n v="0"/>
    <n v="23.03"/>
    <n v="0"/>
    <n v="21"/>
    <n v="21"/>
    <n v="31"/>
    <n v="1.56"/>
    <n v="30000"/>
    <n v="87.35"/>
    <n v="0"/>
    <n v="16.41"/>
    <n v="2975"/>
    <n v="634000"/>
    <n v="634000"/>
    <n v="317813.88"/>
    <n v="715"/>
    <n v="467"/>
    <n v="715"/>
  </r>
  <r>
    <n v="10"/>
    <x v="1"/>
    <n v="922"/>
    <s v="SILVANA"/>
    <x v="4"/>
    <x v="0"/>
    <n v="60000"/>
    <n v="70"/>
    <n v="70"/>
    <n v="67061.009999999995"/>
    <n v="50824.769655999997"/>
    <n v="0"/>
    <n v="24.21"/>
    <n v="16.96"/>
    <n v="609402.81000000006"/>
    <n v="466447.92965499999"/>
    <n v="0"/>
    <n v="23.46"/>
    <n v="68"/>
    <n v="21"/>
    <n v="21"/>
    <n v="617"/>
    <n v="14.58"/>
    <n v="60000"/>
    <n v="951.58"/>
    <n v="0"/>
    <n v="22.93"/>
    <n v="2975"/>
    <n v="690000"/>
    <n v="690000"/>
    <n v="609402.81000000006"/>
    <n v="540"/>
    <n v="502"/>
    <n v="540"/>
  </r>
  <r>
    <n v="4"/>
    <x v="2"/>
    <n v="949"/>
    <s v="JOCINELMA"/>
    <x v="4"/>
    <x v="0"/>
    <n v="108000"/>
    <n v="65"/>
    <n v="65"/>
    <n v="134458.56"/>
    <n v="99051.297470999998"/>
    <n v="0"/>
    <n v="26.33"/>
    <n v="24.51"/>
    <n v="648535.30000000005"/>
    <n v="472008.05384399998"/>
    <n v="0"/>
    <n v="27.22"/>
    <n v="58"/>
    <n v="21"/>
    <n v="21"/>
    <n v="698"/>
    <n v="15.98"/>
    <n v="108000"/>
    <n v="0"/>
    <n v="3"/>
    <n v="24.13"/>
    <n v="2975"/>
    <n v="639000"/>
    <n v="639000"/>
    <n v="648535.30000000005"/>
    <n v="423"/>
    <n v="372"/>
    <n v="423"/>
  </r>
  <r>
    <n v="26"/>
    <x v="4"/>
    <n v="950"/>
    <s v="PEDRO"/>
    <x v="4"/>
    <x v="0"/>
    <n v="75000"/>
    <n v="70"/>
    <n v="70"/>
    <n v="77933.11"/>
    <n v="59073.096248000002"/>
    <n v="0"/>
    <n v="24.2"/>
    <n v="22.9"/>
    <n v="848979.92"/>
    <n v="646957.69484799996"/>
    <n v="0"/>
    <n v="23.8"/>
    <n v="70"/>
    <n v="21"/>
    <n v="21"/>
    <n v="312"/>
    <n v="8.16"/>
    <n v="75000"/>
    <n v="1145.7"/>
    <n v="2"/>
    <n v="25.69"/>
    <n v="2975"/>
    <n v="895000"/>
    <n v="895000"/>
    <n v="939476.75"/>
    <n v="664"/>
    <n v="629"/>
    <n v="664"/>
  </r>
  <r>
    <n v="26"/>
    <x v="4"/>
    <n v="962"/>
    <s v="ROMARIO"/>
    <x v="4"/>
    <x v="0"/>
    <n v="45000"/>
    <n v="49"/>
    <n v="49"/>
    <n v="45883.5"/>
    <n v="35062.052291"/>
    <n v="0"/>
    <n v="23.58"/>
    <n v="19.82"/>
    <n v="848979.92"/>
    <n v="646957.69484799996"/>
    <n v="0"/>
    <n v="23.8"/>
    <n v="49"/>
    <n v="21"/>
    <n v="21"/>
    <n v="354"/>
    <n v="10.82"/>
    <n v="45000"/>
    <n v="55.68"/>
    <n v="1"/>
    <n v="25.69"/>
    <n v="2975"/>
    <n v="895000"/>
    <n v="895000"/>
    <n v="939476.75"/>
    <n v="664"/>
    <n v="629"/>
    <n v="664"/>
  </r>
  <r>
    <n v="4"/>
    <x v="2"/>
    <n v="977"/>
    <s v="EVERTON"/>
    <x v="4"/>
    <x v="0"/>
    <n v="150000"/>
    <n v="104"/>
    <n v="104"/>
    <n v="155305.12"/>
    <n v="112989.14868300001"/>
    <n v="0"/>
    <n v="27.25"/>
    <n v="23.34"/>
    <n v="648535.30000000005"/>
    <n v="472008.05384399998"/>
    <n v="0"/>
    <n v="27.22"/>
    <n v="76"/>
    <n v="21"/>
    <n v="21"/>
    <n v="771"/>
    <n v="16.670000000000002"/>
    <n v="150000"/>
    <n v="1716.52"/>
    <n v="0"/>
    <n v="24.13"/>
    <n v="2975"/>
    <n v="639000"/>
    <n v="639000"/>
    <n v="648535.30000000005"/>
    <n v="423"/>
    <n v="372"/>
    <n v="423"/>
  </r>
  <r>
    <n v="6"/>
    <x v="3"/>
    <n v="983"/>
    <s v="CRISTIELLEN"/>
    <x v="4"/>
    <x v="0"/>
    <n v="105000"/>
    <n v="100"/>
    <n v="100"/>
    <n v="114916.17"/>
    <n v="86632.955532000007"/>
    <n v="0"/>
    <n v="24.61"/>
    <n v="17.78"/>
    <n v="677557.13"/>
    <n v="511766.357211"/>
    <n v="0"/>
    <n v="24.47"/>
    <n v="83"/>
    <n v="21"/>
    <n v="21"/>
    <n v="624"/>
    <n v="16.809999999999999"/>
    <n v="105000"/>
    <n v="64.349999999999994"/>
    <n v="0"/>
    <n v="18.489999999999998"/>
    <n v="2975"/>
    <n v="995000"/>
    <n v="995000"/>
    <n v="758102.34"/>
    <n v="860"/>
    <n v="634"/>
    <n v="860"/>
  </r>
  <r>
    <n v="5"/>
    <x v="5"/>
    <n v="990"/>
    <s v="NATANE"/>
    <x v="4"/>
    <x v="0"/>
    <n v="70000"/>
    <n v="20"/>
    <n v="20"/>
    <n v="73726.44"/>
    <n v="57265.681900000003"/>
    <n v="0"/>
    <n v="22.33"/>
    <n v="31.49"/>
    <n v="371495.64"/>
    <n v="286140.14858500002"/>
    <n v="0"/>
    <n v="22.98"/>
    <n v="20"/>
    <n v="21"/>
    <n v="21"/>
    <n v="73"/>
    <n v="3.95"/>
    <n v="70000"/>
    <n v="2331.6999999999998"/>
    <n v="0"/>
    <n v="35.86"/>
    <n v="2975"/>
    <n v="332000"/>
    <n v="332000"/>
    <n v="371495.64"/>
    <n v="100"/>
    <n v="104"/>
    <n v="100"/>
  </r>
  <r>
    <n v="26"/>
    <x v="4"/>
    <n v="1023"/>
    <s v="JOSINILDO"/>
    <x v="4"/>
    <x v="0"/>
    <n v="110000"/>
    <n v="100"/>
    <n v="100"/>
    <n v="110306.24000000001"/>
    <n v="82849.899686999997"/>
    <n v="0"/>
    <n v="24.89"/>
    <n v="19.329999999999998"/>
    <n v="848979.92"/>
    <n v="646957.69484799996"/>
    <n v="0"/>
    <n v="23.8"/>
    <n v="75"/>
    <n v="21"/>
    <n v="21"/>
    <n v="557"/>
    <n v="11.31"/>
    <n v="110000"/>
    <n v="3562.58"/>
    <n v="3"/>
    <n v="25.69"/>
    <n v="2975"/>
    <n v="895000"/>
    <n v="895000"/>
    <n v="939476.75"/>
    <n v="664"/>
    <n v="629"/>
    <n v="664"/>
  </r>
  <r>
    <n v="2"/>
    <x v="0"/>
    <n v="1027"/>
    <s v="SUELI"/>
    <x v="4"/>
    <x v="0"/>
    <n v="65000"/>
    <n v="50"/>
    <n v="50"/>
    <n v="34109.93"/>
    <n v="25482.512523000001"/>
    <n v="0"/>
    <n v="25.29"/>
    <n v="22.73"/>
    <n v="879806.8"/>
    <n v="661206.86622500001"/>
    <n v="0"/>
    <n v="24.85"/>
    <n v="30"/>
    <n v="21"/>
    <n v="21"/>
    <n v="313"/>
    <n v="14.24"/>
    <n v="65000"/>
    <n v="17.91"/>
    <n v="3"/>
    <n v="21.5"/>
    <n v="2975"/>
    <n v="1000000"/>
    <n v="1000000"/>
    <n v="881745.46"/>
    <n v="673"/>
    <n v="537"/>
    <n v="673"/>
  </r>
  <r>
    <n v="12"/>
    <x v="6"/>
    <n v="1036"/>
    <s v="LUIZ"/>
    <x v="4"/>
    <x v="0"/>
    <n v="46000"/>
    <n v="60"/>
    <n v="60"/>
    <n v="34128.720000000001"/>
    <n v="25814.138019999999"/>
    <n v="0"/>
    <n v="24.36"/>
    <n v="16.68"/>
    <n v="317813.88"/>
    <n v="244628.84228700001"/>
    <n v="0"/>
    <n v="23.03"/>
    <n v="49"/>
    <n v="21"/>
    <n v="21"/>
    <n v="230"/>
    <n v="8.27"/>
    <n v="46000"/>
    <n v="470.11"/>
    <n v="0"/>
    <n v="16.41"/>
    <n v="2975"/>
    <n v="634000"/>
    <n v="634000"/>
    <n v="317813.88"/>
    <n v="715"/>
    <n v="467"/>
    <n v="715"/>
  </r>
  <r>
    <n v="12"/>
    <x v="6"/>
    <n v="1068"/>
    <s v="AMARO"/>
    <x v="4"/>
    <x v="0"/>
    <n v="65000"/>
    <n v="65"/>
    <n v="65"/>
    <n v="4433.8999999999996"/>
    <n v="3408.0046229999998"/>
    <n v="0"/>
    <n v="23.14"/>
    <n v="23.42"/>
    <n v="317813.88"/>
    <n v="244628.84228700001"/>
    <n v="0"/>
    <n v="23.03"/>
    <n v="3"/>
    <n v="21"/>
    <n v="21"/>
    <n v="73"/>
    <n v="26.67"/>
    <n v="65000"/>
    <n v="262.44"/>
    <n v="0"/>
    <n v="16.41"/>
    <n v="2975"/>
    <n v="634000"/>
    <n v="634000"/>
    <n v="317813.88"/>
    <n v="715"/>
    <n v="467"/>
    <n v="715"/>
  </r>
  <r>
    <n v="6"/>
    <x v="3"/>
    <n v="1171"/>
    <s v="EMANUEL"/>
    <x v="4"/>
    <x v="0"/>
    <n v="69000"/>
    <n v="62"/>
    <n v="62"/>
    <n v="15959.37"/>
    <n v="12213.74043"/>
    <n v="0"/>
    <n v="23.47"/>
    <n v="19.38"/>
    <n v="677557.13"/>
    <n v="511766.357211"/>
    <n v="0"/>
    <n v="24.47"/>
    <n v="11"/>
    <n v="21"/>
    <n v="21"/>
    <n v="156"/>
    <n v="18.36"/>
    <n v="69000"/>
    <n v="1115.0999999999999"/>
    <n v="0"/>
    <n v="18.489999999999998"/>
    <n v="2975"/>
    <n v="995000"/>
    <n v="995000"/>
    <n v="758102.34"/>
    <n v="860"/>
    <n v="634"/>
    <n v="860"/>
  </r>
  <r>
    <n v="6"/>
    <x v="3"/>
    <n v="1237"/>
    <s v="MARCOS"/>
    <x v="4"/>
    <x v="0"/>
    <n v="90000"/>
    <n v="80"/>
    <n v="80"/>
    <n v="70008.479999999996"/>
    <n v="52600.258722999999"/>
    <n v="0"/>
    <n v="24.87"/>
    <n v="23.17"/>
    <n v="677557.13"/>
    <n v="511766.357211"/>
    <n v="0"/>
    <n v="24.47"/>
    <n v="68"/>
    <n v="21"/>
    <n v="21"/>
    <n v="460"/>
    <n v="12.15"/>
    <n v="90000"/>
    <n v="9.7799999999999994"/>
    <n v="0"/>
    <n v="18.489999999999998"/>
    <n v="2975"/>
    <n v="995000"/>
    <n v="995000"/>
    <n v="758102.34"/>
    <n v="860"/>
    <n v="634"/>
    <n v="860"/>
  </r>
  <r>
    <n v="26"/>
    <x v="4"/>
    <n v="1238"/>
    <s v="MARY"/>
    <x v="4"/>
    <x v="0"/>
    <n v="40000"/>
    <n v="15"/>
    <n v="15"/>
    <n v="39953.61"/>
    <n v="29862.449374"/>
    <n v="0"/>
    <n v="25.26"/>
    <n v="30.42"/>
    <n v="848979.92"/>
    <n v="646957.69484799996"/>
    <n v="0"/>
    <n v="23.8"/>
    <n v="15"/>
    <n v="21"/>
    <n v="21"/>
    <n v="142"/>
    <n v="9.48"/>
    <n v="40000"/>
    <n v="3810.99"/>
    <n v="0"/>
    <n v="25.69"/>
    <n v="2975"/>
    <n v="895000"/>
    <n v="895000"/>
    <n v="939476.75"/>
    <n v="664"/>
    <n v="629"/>
    <n v="664"/>
  </r>
  <r>
    <n v="26"/>
    <x v="4"/>
    <n v="1265"/>
    <s v="SAMUEL"/>
    <x v="4"/>
    <x v="0"/>
    <n v="130000"/>
    <n v="120"/>
    <n v="120"/>
    <n v="136403.72"/>
    <n v="104560.582412"/>
    <n v="0"/>
    <n v="23.34"/>
    <n v="23.99"/>
    <n v="848979.92"/>
    <n v="646957.69484799996"/>
    <n v="0"/>
    <n v="23.8"/>
    <n v="120"/>
    <n v="21"/>
    <n v="21"/>
    <n v="347"/>
    <n v="7.55"/>
    <n v="130000"/>
    <n v="638.9"/>
    <n v="2"/>
    <n v="25.69"/>
    <n v="2975"/>
    <n v="895000"/>
    <n v="895000"/>
    <n v="939476.75"/>
    <n v="664"/>
    <n v="629"/>
    <n v="664"/>
  </r>
  <r>
    <n v="10"/>
    <x v="1"/>
    <n v="1271"/>
    <s v="ALISON"/>
    <x v="4"/>
    <x v="0"/>
    <n v="120000"/>
    <n v="85"/>
    <n v="85"/>
    <n v="121308.55"/>
    <n v="91964.684479999996"/>
    <n v="0"/>
    <n v="24.19"/>
    <n v="15.97"/>
    <n v="609402.81000000006"/>
    <n v="466447.92965499999"/>
    <n v="0"/>
    <n v="23.46"/>
    <n v="102"/>
    <n v="21"/>
    <n v="21"/>
    <n v="543"/>
    <n v="9.34"/>
    <n v="120000"/>
    <n v="448.44"/>
    <n v="0"/>
    <n v="22.93"/>
    <n v="2975"/>
    <n v="690000"/>
    <n v="690000"/>
    <n v="609402.81000000006"/>
    <n v="540"/>
    <n v="502"/>
    <n v="540"/>
  </r>
  <r>
    <n v="2"/>
    <x v="0"/>
    <n v="1280"/>
    <s v="ARIANE"/>
    <x v="4"/>
    <x v="0"/>
    <n v="85000"/>
    <n v="60"/>
    <n v="60"/>
    <n v="45781.43"/>
    <n v="33792.754917999999"/>
    <n v="0"/>
    <n v="26.19"/>
    <n v="20.03"/>
    <n v="879806.8"/>
    <n v="661206.86622500001"/>
    <n v="0"/>
    <n v="24.85"/>
    <n v="30"/>
    <n v="21"/>
    <n v="21"/>
    <n v="409"/>
    <n v="15.24"/>
    <n v="85000"/>
    <n v="17.739999999999998"/>
    <n v="0"/>
    <n v="21.5"/>
    <n v="2975"/>
    <n v="1000000"/>
    <n v="1000000"/>
    <n v="881745.46"/>
    <n v="673"/>
    <n v="537"/>
    <n v="673"/>
  </r>
  <r>
    <n v="17"/>
    <x v="8"/>
    <n v="1292"/>
    <s v="EMANOEL"/>
    <x v="4"/>
    <x v="0"/>
    <n v="100000"/>
    <n v="55"/>
    <n v="55"/>
    <n v="91978.28"/>
    <n v="64576.799955000002"/>
    <n v="0"/>
    <n v="29.79"/>
    <n v="24.86"/>
    <n v="366554.89"/>
    <n v="265187.54963199998"/>
    <n v="0"/>
    <n v="27.65"/>
    <n v="48"/>
    <n v="21"/>
    <n v="21"/>
    <n v="499"/>
    <n v="16.260000000000002"/>
    <n v="100000"/>
    <n v="0"/>
    <n v="0"/>
    <n v="26.11"/>
    <n v="2975"/>
    <n v="510000"/>
    <n v="510000"/>
    <n v="366554.89"/>
    <n v="280"/>
    <n v="192"/>
    <n v="280"/>
  </r>
  <r>
    <n v="12"/>
    <x v="6"/>
    <n v="1330"/>
    <s v="LUIZ"/>
    <x v="4"/>
    <x v="0"/>
    <n v="70000"/>
    <n v="70"/>
    <n v="70"/>
    <n v="17081.64"/>
    <n v="12993.164199000001"/>
    <n v="0"/>
    <n v="23.93"/>
    <n v="11.82"/>
    <n v="317813.88"/>
    <n v="244628.84228700001"/>
    <n v="0"/>
    <n v="23.03"/>
    <n v="34"/>
    <n v="21"/>
    <n v="21"/>
    <n v="135"/>
    <n v="5.38"/>
    <n v="70000"/>
    <n v="1032.22"/>
    <n v="0"/>
    <n v="16.41"/>
    <n v="2975"/>
    <n v="634000"/>
    <n v="634000"/>
    <n v="317813.88"/>
    <n v="715"/>
    <n v="467"/>
    <n v="715"/>
  </r>
  <r>
    <n v="6"/>
    <x v="3"/>
    <n v="1337"/>
    <s v="IZABELLI"/>
    <x v="4"/>
    <x v="0"/>
    <n v="65000"/>
    <n v="61"/>
    <n v="61"/>
    <n v="56713.9"/>
    <n v="43335.585373000002"/>
    <n v="0"/>
    <n v="23.59"/>
    <n v="18.16"/>
    <n v="677557.13"/>
    <n v="511766.357211"/>
    <n v="0"/>
    <n v="24.47"/>
    <n v="56"/>
    <n v="21"/>
    <n v="21"/>
    <n v="265"/>
    <n v="10.61"/>
    <n v="65000"/>
    <n v="1327.85"/>
    <n v="1"/>
    <n v="18.489999999999998"/>
    <n v="2975"/>
    <n v="995000"/>
    <n v="995000"/>
    <n v="758102.34"/>
    <n v="860"/>
    <n v="634"/>
    <n v="860"/>
  </r>
  <r>
    <n v="17"/>
    <x v="8"/>
    <n v="1343"/>
    <s v="J.CRUZ"/>
    <x v="4"/>
    <x v="0"/>
    <n v="40000"/>
    <n v="1"/>
    <n v="1"/>
    <n v="22796.63"/>
    <n v="15402.688265000001"/>
    <n v="0"/>
    <n v="32.43"/>
    <n v="32.6"/>
    <n v="366554.89"/>
    <n v="265187.54963199998"/>
    <n v="0"/>
    <n v="27.65"/>
    <n v="2"/>
    <n v="21"/>
    <n v="21"/>
    <n v="331"/>
    <n v="47.38"/>
    <n v="40000"/>
    <n v="0"/>
    <n v="0"/>
    <n v="26.11"/>
    <n v="2975"/>
    <n v="510000"/>
    <n v="510000"/>
    <n v="366554.89"/>
    <n v="280"/>
    <n v="192"/>
    <n v="280"/>
  </r>
  <r>
    <n v="6"/>
    <x v="3"/>
    <n v="1385"/>
    <s v="ADAUTO"/>
    <x v="4"/>
    <x v="0"/>
    <n v="75000"/>
    <n v="77"/>
    <n v="77"/>
    <n v="85058.86"/>
    <n v="65485.003860999997"/>
    <n v="0"/>
    <n v="23.01"/>
    <n v="17.670000000000002"/>
    <n v="677557.13"/>
    <n v="511766.357211"/>
    <n v="0"/>
    <n v="24.47"/>
    <n v="79"/>
    <n v="21"/>
    <n v="21"/>
    <n v="564"/>
    <n v="14.85"/>
    <n v="75000"/>
    <n v="514.30999999999995"/>
    <n v="0"/>
    <n v="18.489999999999998"/>
    <n v="2975"/>
    <n v="995000"/>
    <n v="995000"/>
    <n v="758102.34"/>
    <n v="860"/>
    <n v="634"/>
    <n v="860"/>
  </r>
  <r>
    <n v="12"/>
    <x v="6"/>
    <n v="1390"/>
    <s v="ADINALVA"/>
    <x v="4"/>
    <x v="0"/>
    <n v="55000"/>
    <n v="60"/>
    <n v="60"/>
    <n v="29374.07"/>
    <n v="22270.075739"/>
    <n v="0"/>
    <n v="24.18"/>
    <n v="15.36"/>
    <n v="317813.88"/>
    <n v="244628.84228700001"/>
    <n v="0"/>
    <n v="23.03"/>
    <n v="54"/>
    <n v="21"/>
    <n v="21"/>
    <n v="275"/>
    <n v="9.69"/>
    <n v="55000"/>
    <n v="312.54000000000002"/>
    <n v="2"/>
    <n v="16.41"/>
    <n v="2975"/>
    <n v="634000"/>
    <n v="634000"/>
    <n v="317813.88"/>
    <n v="715"/>
    <n v="467"/>
    <n v="715"/>
  </r>
  <r>
    <n v="26"/>
    <x v="4"/>
    <n v="1394"/>
    <s v="WENDERSON"/>
    <x v="4"/>
    <x v="0"/>
    <n v="48000"/>
    <n v="57"/>
    <n v="57"/>
    <n v="36861.86"/>
    <n v="27594.260548999999"/>
    <n v="0"/>
    <n v="25.14"/>
    <n v="18.440000000000001"/>
    <n v="848979.92"/>
    <n v="646957.69484799996"/>
    <n v="0"/>
    <n v="23.8"/>
    <n v="59"/>
    <n v="21"/>
    <n v="21"/>
    <n v="280"/>
    <n v="7.41"/>
    <n v="48000"/>
    <n v="573.58000000000004"/>
    <n v="2"/>
    <n v="25.69"/>
    <n v="2975"/>
    <n v="895000"/>
    <n v="895000"/>
    <n v="939476.75"/>
    <n v="664"/>
    <n v="629"/>
    <n v="664"/>
  </r>
  <r>
    <n v="12"/>
    <x v="6"/>
    <n v="1402"/>
    <s v="CARLOS"/>
    <x v="4"/>
    <x v="0"/>
    <n v="50000"/>
    <n v="60"/>
    <n v="60"/>
    <n v="43633.11"/>
    <n v="33533.937532999997"/>
    <n v="0"/>
    <n v="23.15"/>
    <n v="26.71"/>
    <n v="317813.88"/>
    <n v="244628.84228700001"/>
    <n v="0"/>
    <n v="23.03"/>
    <n v="40"/>
    <n v="21"/>
    <n v="21"/>
    <n v="219"/>
    <n v="5.43"/>
    <n v="50000"/>
    <n v="7045.16"/>
    <n v="1"/>
    <n v="16.41"/>
    <n v="2975"/>
    <n v="634000"/>
    <n v="634000"/>
    <n v="317813.88"/>
    <n v="715"/>
    <n v="467"/>
    <n v="715"/>
  </r>
  <r>
    <n v="17"/>
    <x v="8"/>
    <n v="1431"/>
    <s v="MARCIO"/>
    <x v="4"/>
    <x v="0"/>
    <n v="50000"/>
    <n v="30"/>
    <n v="30"/>
    <n v="10789.13"/>
    <n v="8070.0130859999999"/>
    <n v="0"/>
    <n v="25.2"/>
    <n v="34.04"/>
    <n v="366554.89"/>
    <n v="265187.54963199998"/>
    <n v="0"/>
    <n v="27.65"/>
    <n v="1"/>
    <n v="21"/>
    <n v="21"/>
    <n v="59"/>
    <n v="12.2"/>
    <n v="50000"/>
    <n v="0"/>
    <n v="0"/>
    <n v="26.11"/>
    <n v="2975"/>
    <n v="510000"/>
    <n v="510000"/>
    <n v="366554.89"/>
    <n v="280"/>
    <n v="192"/>
    <n v="280"/>
  </r>
  <r>
    <n v="10"/>
    <x v="1"/>
    <n v="1450"/>
    <s v="INGRID"/>
    <x v="4"/>
    <x v="0"/>
    <n v="75000"/>
    <n v="65"/>
    <n v="65"/>
    <n v="83928.04"/>
    <n v="63704.470229999999"/>
    <n v="0"/>
    <n v="24.1"/>
    <n v="21.61"/>
    <n v="609402.81000000006"/>
    <n v="466447.92965499999"/>
    <n v="0"/>
    <n v="23.46"/>
    <n v="81"/>
    <n v="21"/>
    <n v="21"/>
    <n v="702"/>
    <n v="19.57"/>
    <n v="75000"/>
    <n v="318.86"/>
    <n v="1"/>
    <n v="22.93"/>
    <n v="2975"/>
    <n v="690000"/>
    <n v="690000"/>
    <n v="609402.81000000006"/>
    <n v="540"/>
    <n v="502"/>
    <n v="540"/>
  </r>
  <r>
    <n v="2"/>
    <x v="0"/>
    <n v="1457"/>
    <s v="JOSE"/>
    <x v="4"/>
    <x v="0"/>
    <n v="85000"/>
    <n v="69"/>
    <n v="69"/>
    <n v="85982.46"/>
    <n v="64986.757306"/>
    <n v="0"/>
    <n v="24.42"/>
    <n v="28.85"/>
    <n v="879806.8"/>
    <n v="661206.86622500001"/>
    <n v="0"/>
    <n v="24.85"/>
    <n v="46"/>
    <n v="21"/>
    <n v="21"/>
    <n v="541"/>
    <n v="16.829999999999998"/>
    <n v="85000"/>
    <n v="1152.72"/>
    <n v="1"/>
    <n v="21.5"/>
    <n v="2975"/>
    <n v="1000000"/>
    <n v="1000000"/>
    <n v="881745.46"/>
    <n v="673"/>
    <n v="537"/>
    <n v="673"/>
  </r>
  <r>
    <n v="6"/>
    <x v="3"/>
    <n v="1466"/>
    <s v="ARTHUR"/>
    <x v="4"/>
    <x v="0"/>
    <n v="105000"/>
    <n v="90"/>
    <n v="90"/>
    <n v="86041.24"/>
    <n v="64351.773051999997"/>
    <n v="0"/>
    <n v="25.21"/>
    <n v="18.809999999999999"/>
    <n v="677557.13"/>
    <n v="511766.357211"/>
    <n v="0"/>
    <n v="24.47"/>
    <n v="57"/>
    <n v="21"/>
    <n v="21"/>
    <n v="527"/>
    <n v="13.18"/>
    <n v="105000"/>
    <n v="7287.68"/>
    <n v="1"/>
    <n v="18.489999999999998"/>
    <n v="2975"/>
    <n v="995000"/>
    <n v="995000"/>
    <n v="758102.34"/>
    <n v="860"/>
    <n v="634"/>
    <n v="860"/>
  </r>
  <r>
    <n v="4"/>
    <x v="2"/>
    <n v="1473"/>
    <s v="EDER"/>
    <x v="4"/>
    <x v="0"/>
    <n v="105000"/>
    <n v="80"/>
    <n v="80"/>
    <n v="91372.71"/>
    <n v="68529.145873000001"/>
    <n v="0"/>
    <n v="25"/>
    <n v="17.72"/>
    <n v="648535.30000000005"/>
    <n v="472008.05384399998"/>
    <n v="0"/>
    <n v="27.22"/>
    <n v="65"/>
    <n v="21"/>
    <n v="21"/>
    <n v="643"/>
    <n v="12.96"/>
    <n v="105000"/>
    <n v="674.88"/>
    <n v="3"/>
    <n v="24.13"/>
    <n v="2975"/>
    <n v="639000"/>
    <n v="639000"/>
    <n v="648535.30000000005"/>
    <n v="423"/>
    <n v="372"/>
    <n v="423"/>
  </r>
  <r>
    <n v="17"/>
    <x v="8"/>
    <n v="1475"/>
    <s v="CARLOS"/>
    <x v="4"/>
    <x v="0"/>
    <n v="95000"/>
    <n v="54"/>
    <n v="54"/>
    <n v="79183.88"/>
    <n v="58522.490425000004"/>
    <n v="0"/>
    <n v="26.09"/>
    <n v="28.95"/>
    <n v="366554.89"/>
    <n v="265187.54963199998"/>
    <n v="0"/>
    <n v="27.65"/>
    <n v="45"/>
    <n v="21"/>
    <n v="21"/>
    <n v="393"/>
    <n v="12.58"/>
    <n v="95000"/>
    <n v="0"/>
    <n v="1"/>
    <n v="26.11"/>
    <n v="2975"/>
    <n v="510000"/>
    <n v="510000"/>
    <n v="366554.89"/>
    <n v="280"/>
    <n v="192"/>
    <n v="280"/>
  </r>
  <r>
    <n v="10"/>
    <x v="1"/>
    <n v="1486"/>
    <s v="DHIEGO"/>
    <x v="4"/>
    <x v="0"/>
    <n v="40000"/>
    <n v="25"/>
    <n v="25"/>
    <n v="13826.96"/>
    <n v="9998.5651890000008"/>
    <n v="0"/>
    <n v="27.69"/>
    <n v="21.88"/>
    <n v="609402.81000000006"/>
    <n v="466447.92965499999"/>
    <n v="0"/>
    <n v="23.46"/>
    <n v="22"/>
    <n v="21"/>
    <n v="21"/>
    <n v="76"/>
    <n v="6"/>
    <n v="40000"/>
    <n v="5.16"/>
    <n v="0"/>
    <n v="22.93"/>
    <n v="2975"/>
    <n v="690000"/>
    <n v="690000"/>
    <n v="609402.81000000006"/>
    <n v="540"/>
    <n v="502"/>
    <n v="540"/>
  </r>
  <r>
    <n v="20"/>
    <x v="7"/>
    <n v="1493"/>
    <s v="FABIO"/>
    <x v="4"/>
    <x v="0"/>
    <n v="50000"/>
    <n v="40"/>
    <n v="40"/>
    <n v="15136.06"/>
    <n v="11284.424279000001"/>
    <n v="0"/>
    <n v="25.45"/>
    <n v="21.14"/>
    <n v="333376.57"/>
    <n v="259671.58194999999"/>
    <n v="0"/>
    <n v="22.11"/>
    <n v="21"/>
    <n v="21"/>
    <n v="21"/>
    <n v="114"/>
    <n v="7.75"/>
    <n v="50000"/>
    <n v="0"/>
    <n v="0"/>
    <n v="27.14"/>
    <n v="2975"/>
    <n v="150000"/>
    <n v="150000"/>
    <n v="59351.44"/>
    <n v="120"/>
    <n v="61"/>
    <n v="120"/>
  </r>
  <r>
    <n v="17"/>
    <x v="8"/>
    <n v="1497"/>
    <s v="ACSA"/>
    <x v="4"/>
    <x v="0"/>
    <n v="80000"/>
    <n v="36"/>
    <n v="36"/>
    <n v="67252.58"/>
    <n v="48722.744515999999"/>
    <n v="0"/>
    <n v="27.55"/>
    <n v="23.39"/>
    <n v="366554.89"/>
    <n v="265187.54963199998"/>
    <n v="0"/>
    <n v="27.65"/>
    <n v="32"/>
    <n v="21"/>
    <n v="21"/>
    <n v="432"/>
    <n v="19.82"/>
    <n v="80000"/>
    <n v="0"/>
    <n v="0"/>
    <n v="26.11"/>
    <n v="2975"/>
    <n v="510000"/>
    <n v="510000"/>
    <n v="366554.89"/>
    <n v="280"/>
    <n v="192"/>
    <n v="280"/>
  </r>
  <r>
    <n v="2"/>
    <x v="0"/>
    <n v="1505"/>
    <s v="BRUNA"/>
    <x v="4"/>
    <x v="0"/>
    <n v="75000"/>
    <n v="50"/>
    <n v="50"/>
    <n v="77636.11"/>
    <n v="58006.225915000003"/>
    <n v="0"/>
    <n v="25.28"/>
    <n v="20.29"/>
    <n v="879806.8"/>
    <n v="661206.86622500001"/>
    <n v="0"/>
    <n v="24.85"/>
    <n v="52"/>
    <n v="21"/>
    <n v="21"/>
    <n v="479"/>
    <n v="18.63"/>
    <n v="75000"/>
    <n v="798.69"/>
    <n v="0"/>
    <n v="21.5"/>
    <n v="2975"/>
    <n v="1000000"/>
    <n v="1000000"/>
    <n v="881745.46"/>
    <n v="673"/>
    <n v="537"/>
    <n v="673"/>
  </r>
  <r>
    <n v="4"/>
    <x v="2"/>
    <n v="1510"/>
    <s v="MAICON"/>
    <x v="4"/>
    <x v="0"/>
    <n v="0"/>
    <n v="0"/>
    <n v="0"/>
    <n v="1454.87"/>
    <n v="1222.0758699999999"/>
    <n v="0"/>
    <n v="16"/>
    <n v="1"/>
    <n v="648535.30000000005"/>
    <n v="472008.05384399998"/>
    <n v="0"/>
    <n v="27.22"/>
    <n v="1"/>
    <n v="21"/>
    <n v="21"/>
    <n v="4"/>
    <n v="3"/>
    <n v="0"/>
    <n v="0"/>
    <n v="0"/>
    <n v="24.13"/>
    <n v="2975"/>
    <n v="639000"/>
    <n v="639000"/>
    <n v="648535.30000000005"/>
    <n v="423"/>
    <n v="372"/>
    <n v="423"/>
  </r>
  <r>
    <n v="4"/>
    <x v="2"/>
    <n v="1522"/>
    <s v="MARCIA"/>
    <x v="4"/>
    <x v="0"/>
    <n v="50000"/>
    <n v="1"/>
    <n v="1"/>
    <n v="23986.93"/>
    <n v="17011.575916999998"/>
    <n v="0"/>
    <n v="29.08"/>
    <n v="27.44"/>
    <n v="648535.30000000005"/>
    <n v="472008.05384399998"/>
    <n v="0"/>
    <n v="27.22"/>
    <n v="1"/>
    <n v="21"/>
    <n v="21"/>
    <n v="68"/>
    <n v="34"/>
    <n v="50000"/>
    <n v="1288"/>
    <n v="0"/>
    <n v="24.13"/>
    <n v="2975"/>
    <n v="639000"/>
    <n v="639000"/>
    <n v="648535.30000000005"/>
    <n v="423"/>
    <n v="372"/>
    <n v="423"/>
  </r>
  <r>
    <n v="26"/>
    <x v="4"/>
    <n v="1527"/>
    <s v="JOSE"/>
    <x v="4"/>
    <x v="0"/>
    <n v="50000"/>
    <n v="40"/>
    <n v="40"/>
    <n v="61350.64"/>
    <n v="47418.226788"/>
    <n v="0"/>
    <n v="22.71"/>
    <n v="24.64"/>
    <n v="848979.92"/>
    <n v="646957.69484799996"/>
    <n v="0"/>
    <n v="23.8"/>
    <n v="43"/>
    <n v="21"/>
    <n v="21"/>
    <n v="309"/>
    <n v="8.11"/>
    <n v="50000"/>
    <n v="921.6"/>
    <n v="4"/>
    <n v="25.69"/>
    <n v="2975"/>
    <n v="895000"/>
    <n v="895000"/>
    <n v="939476.75"/>
    <n v="664"/>
    <n v="629"/>
    <n v="664"/>
  </r>
  <r>
    <n v="26"/>
    <x v="4"/>
    <n v="1535"/>
    <s v="ALAN"/>
    <x v="4"/>
    <x v="0"/>
    <n v="50000"/>
    <n v="40"/>
    <n v="40"/>
    <n v="29146.19"/>
    <n v="22644.514164"/>
    <n v="0"/>
    <n v="22.31"/>
    <n v="22.78"/>
    <n v="848979.92"/>
    <n v="646957.69484799996"/>
    <n v="0"/>
    <n v="23.8"/>
    <n v="35"/>
    <n v="21"/>
    <n v="21"/>
    <n v="199"/>
    <n v="8.83"/>
    <n v="50000"/>
    <n v="0"/>
    <n v="1"/>
    <n v="25.69"/>
    <n v="2975"/>
    <n v="895000"/>
    <n v="895000"/>
    <n v="939476.75"/>
    <n v="664"/>
    <n v="629"/>
    <n v="664"/>
  </r>
  <r>
    <n v="2"/>
    <x v="0"/>
    <n v="1553"/>
    <s v="JORGE"/>
    <x v="4"/>
    <x v="0"/>
    <n v="0"/>
    <n v="0"/>
    <n v="0"/>
    <n v="1938.66"/>
    <n v="1448.2257360000001"/>
    <n v="0"/>
    <n v="25.3"/>
    <n v="30"/>
    <n v="879806.8"/>
    <n v="661206.86622500001"/>
    <n v="0"/>
    <n v="24.85"/>
    <n v="1"/>
    <n v="21"/>
    <n v="21"/>
    <n v="6"/>
    <n v="6"/>
    <n v="0"/>
    <n v="1091.5"/>
    <n v="2"/>
    <n v="21.5"/>
    <n v="2975"/>
    <n v="1000000"/>
    <n v="1000000"/>
    <n v="881745.46"/>
    <n v="673"/>
    <n v="537"/>
    <n v="673"/>
  </r>
  <r>
    <n v="4"/>
    <x v="2"/>
    <n v="1557"/>
    <s v="ALEXSANDRA"/>
    <x v="4"/>
    <x v="0"/>
    <n v="110000"/>
    <n v="78"/>
    <n v="78"/>
    <n v="94127.33"/>
    <n v="67914.650167999993"/>
    <n v="0"/>
    <n v="27.85"/>
    <n v="24.35"/>
    <n v="648535.30000000005"/>
    <n v="472008.05384399998"/>
    <n v="0"/>
    <n v="27.22"/>
    <n v="70"/>
    <n v="21"/>
    <n v="21"/>
    <n v="491"/>
    <n v="14.86"/>
    <n v="110000"/>
    <n v="0"/>
    <n v="0"/>
    <n v="24.13"/>
    <n v="2975"/>
    <n v="639000"/>
    <n v="639000"/>
    <n v="648535.30000000005"/>
    <n v="423"/>
    <n v="372"/>
    <n v="423"/>
  </r>
  <r>
    <n v="4"/>
    <x v="2"/>
    <n v="1558"/>
    <s v="JEFFERSON"/>
    <x v="4"/>
    <x v="0"/>
    <n v="80000"/>
    <n v="65"/>
    <n v="65"/>
    <n v="94664.26"/>
    <n v="67085.812546000001"/>
    <n v="0"/>
    <n v="29.13"/>
    <n v="25.46"/>
    <n v="648535.30000000005"/>
    <n v="472008.05384399998"/>
    <n v="0"/>
    <n v="27.22"/>
    <n v="59"/>
    <n v="21"/>
    <n v="21"/>
    <n v="474"/>
    <n v="10.76"/>
    <n v="80000"/>
    <n v="569.82000000000005"/>
    <n v="1"/>
    <n v="24.13"/>
    <n v="2975"/>
    <n v="639000"/>
    <n v="639000"/>
    <n v="648535.30000000005"/>
    <n v="423"/>
    <n v="372"/>
    <n v="423"/>
  </r>
  <r>
    <n v="26"/>
    <x v="4"/>
    <n v="1565"/>
    <s v="FRANCIELE"/>
    <x v="4"/>
    <x v="0"/>
    <n v="40000"/>
    <n v="1"/>
    <n v="1"/>
    <n v="25237.53"/>
    <n v="19083.825102999999"/>
    <n v="0"/>
    <n v="24.38"/>
    <n v="48.26"/>
    <n v="848979.92"/>
    <n v="646957.69484799996"/>
    <n v="0"/>
    <n v="23.8"/>
    <n v="2"/>
    <n v="21"/>
    <n v="21"/>
    <n v="78"/>
    <n v="13.63"/>
    <n v="40000"/>
    <n v="1061.6400000000001"/>
    <n v="0"/>
    <n v="25.69"/>
    <n v="2975"/>
    <n v="895000"/>
    <n v="895000"/>
    <n v="939476.75"/>
    <n v="664"/>
    <n v="629"/>
    <n v="664"/>
  </r>
  <r>
    <n v="12"/>
    <x v="6"/>
    <n v="1582"/>
    <s v="KEYLLA"/>
    <x v="4"/>
    <x v="0"/>
    <n v="46000"/>
    <n v="60"/>
    <n v="60"/>
    <n v="50668.25"/>
    <n v="38568.698901000003"/>
    <n v="0"/>
    <n v="23.88"/>
    <n v="19.22"/>
    <n v="317813.88"/>
    <n v="244628.84228700001"/>
    <n v="0"/>
    <n v="23.03"/>
    <n v="64"/>
    <n v="21"/>
    <n v="21"/>
    <n v="310"/>
    <n v="9.39"/>
    <n v="46000"/>
    <n v="887.76"/>
    <n v="0"/>
    <n v="16.41"/>
    <n v="2975"/>
    <n v="634000"/>
    <n v="634000"/>
    <n v="317813.88"/>
    <n v="715"/>
    <n v="467"/>
    <n v="715"/>
  </r>
  <r>
    <n v="6"/>
    <x v="3"/>
    <n v="1585"/>
    <s v="FABIO"/>
    <x v="4"/>
    <x v="0"/>
    <n v="40000"/>
    <n v="45"/>
    <n v="45"/>
    <n v="28830.21"/>
    <n v="21229.190524000001"/>
    <n v="0"/>
    <n v="26.36"/>
    <n v="17.48"/>
    <n v="677557.13"/>
    <n v="511766.357211"/>
    <n v="0"/>
    <n v="24.47"/>
    <n v="39"/>
    <n v="21"/>
    <n v="21"/>
    <n v="242"/>
    <n v="9.8800000000000008"/>
    <n v="40000"/>
    <n v="1355.7"/>
    <n v="2"/>
    <n v="18.489999999999998"/>
    <n v="2975"/>
    <n v="995000"/>
    <n v="995000"/>
    <n v="758102.34"/>
    <n v="860"/>
    <n v="634"/>
    <n v="860"/>
  </r>
  <r>
    <n v="20"/>
    <x v="7"/>
    <n v="1590"/>
    <s v="CARLOS"/>
    <x v="4"/>
    <x v="0"/>
    <n v="0"/>
    <n v="0"/>
    <n v="0"/>
    <n v="7377.98"/>
    <n v="6082.6246039999996"/>
    <n v="0"/>
    <n v="17.559999999999999"/>
    <n v="24.36"/>
    <n v="333376.57"/>
    <n v="259671.58194999999"/>
    <n v="0"/>
    <n v="22.11"/>
    <n v="6"/>
    <n v="21"/>
    <n v="21"/>
    <n v="64"/>
    <n v="5.15"/>
    <n v="0"/>
    <n v="0"/>
    <n v="0"/>
    <n v="27.14"/>
    <n v="2975"/>
    <n v="150000"/>
    <n v="150000"/>
    <n v="59351.44"/>
    <n v="120"/>
    <n v="61"/>
    <n v="120"/>
  </r>
  <r>
    <n v="10"/>
    <x v="1"/>
    <n v="1591"/>
    <s v="ELRIK"/>
    <x v="4"/>
    <x v="0"/>
    <n v="65000"/>
    <n v="50"/>
    <n v="50"/>
    <n v="50946.48"/>
    <n v="39529.603964000002"/>
    <n v="0"/>
    <n v="22.41"/>
    <n v="20.079999999999998"/>
    <n v="609402.81000000006"/>
    <n v="466447.92965499999"/>
    <n v="0"/>
    <n v="23.46"/>
    <n v="58"/>
    <n v="21"/>
    <n v="21"/>
    <n v="437"/>
    <n v="12.65"/>
    <n v="65000"/>
    <n v="1053.71"/>
    <n v="1"/>
    <n v="22.93"/>
    <n v="2975"/>
    <n v="690000"/>
    <n v="690000"/>
    <n v="609402.81000000006"/>
    <n v="540"/>
    <n v="502"/>
    <n v="540"/>
  </r>
  <r>
    <n v="5"/>
    <x v="5"/>
    <n v="1593"/>
    <s v="DAIZA"/>
    <x v="4"/>
    <x v="0"/>
    <n v="115000"/>
    <n v="50"/>
    <n v="50"/>
    <n v="121369.57"/>
    <n v="93797.002737000003"/>
    <n v="0"/>
    <n v="22.72"/>
    <n v="30.45"/>
    <n v="371495.64"/>
    <n v="286140.14858500002"/>
    <n v="0"/>
    <n v="22.98"/>
    <n v="52"/>
    <n v="21"/>
    <n v="21"/>
    <n v="422"/>
    <n v="10.06"/>
    <n v="115000"/>
    <n v="2673.08"/>
    <n v="0"/>
    <n v="35.86"/>
    <n v="2975"/>
    <n v="332000"/>
    <n v="332000"/>
    <n v="371495.64"/>
    <n v="100"/>
    <n v="104"/>
    <n v="100"/>
  </r>
  <r>
    <n v="12"/>
    <x v="6"/>
    <n v="1594"/>
    <s v="EDILENE"/>
    <x v="4"/>
    <x v="0"/>
    <n v="46000"/>
    <n v="60"/>
    <n v="60"/>
    <n v="31126.1"/>
    <n v="23604.328806000001"/>
    <n v="0"/>
    <n v="24.17"/>
    <n v="15.88"/>
    <n v="317813.88"/>
    <n v="244628.84228700001"/>
    <n v="0"/>
    <n v="23.03"/>
    <n v="47"/>
    <n v="21"/>
    <n v="21"/>
    <n v="208"/>
    <n v="7.57"/>
    <n v="46000"/>
    <n v="891.84"/>
    <n v="0"/>
    <n v="16.41"/>
    <n v="2975"/>
    <n v="634000"/>
    <n v="634000"/>
    <n v="317813.88"/>
    <n v="715"/>
    <n v="467"/>
    <n v="715"/>
  </r>
  <r>
    <n v="20"/>
    <x v="7"/>
    <n v="1599"/>
    <s v="ALEXANDRE"/>
    <x v="4"/>
    <x v="0"/>
    <n v="50000"/>
    <n v="40"/>
    <n v="40"/>
    <n v="28384.97"/>
    <n v="22138.165315999999"/>
    <n v="0"/>
    <n v="22.01"/>
    <n v="35.869999999999997"/>
    <n v="333376.57"/>
    <n v="259671.58194999999"/>
    <n v="0"/>
    <n v="22.11"/>
    <n v="26"/>
    <n v="21"/>
    <n v="21"/>
    <n v="145"/>
    <n v="5.81"/>
    <n v="50000"/>
    <n v="0"/>
    <n v="2"/>
    <n v="27.14"/>
    <n v="2975"/>
    <n v="150000"/>
    <n v="150000"/>
    <n v="59351.44"/>
    <n v="120"/>
    <n v="61"/>
    <n v="120"/>
  </r>
  <r>
    <n v="6"/>
    <x v="3"/>
    <n v="1602"/>
    <s v="ERIC"/>
    <x v="4"/>
    <x v="0"/>
    <n v="50000"/>
    <n v="40"/>
    <n v="40"/>
    <n v="30274.41"/>
    <n v="24895.700202"/>
    <n v="0"/>
    <n v="17.77"/>
    <n v="36.19"/>
    <n v="677557.13"/>
    <n v="511766.357211"/>
    <n v="0"/>
    <n v="24.47"/>
    <n v="18"/>
    <n v="21"/>
    <n v="21"/>
    <n v="56"/>
    <n v="4.0599999999999996"/>
    <n v="50000"/>
    <n v="190.72"/>
    <n v="3"/>
    <n v="18.489999999999998"/>
    <n v="2975"/>
    <n v="995000"/>
    <n v="995000"/>
    <n v="758102.34"/>
    <n v="860"/>
    <n v="634"/>
    <n v="860"/>
  </r>
  <r>
    <n v="10"/>
    <x v="1"/>
    <n v="1605"/>
    <s v="SARA"/>
    <x v="4"/>
    <x v="0"/>
    <n v="100000"/>
    <n v="65"/>
    <n v="65"/>
    <n v="122450.74"/>
    <n v="95419.459143"/>
    <n v="0"/>
    <n v="22.08"/>
    <n v="36.53"/>
    <n v="609402.81000000006"/>
    <n v="466447.92965499999"/>
    <n v="0"/>
    <n v="23.46"/>
    <n v="50"/>
    <n v="21"/>
    <n v="21"/>
    <n v="294"/>
    <n v="10.16"/>
    <n v="100000"/>
    <n v="87.98"/>
    <n v="1"/>
    <n v="22.93"/>
    <n v="2975"/>
    <n v="690000"/>
    <n v="690000"/>
    <n v="609402.81000000006"/>
    <n v="540"/>
    <n v="502"/>
    <n v="540"/>
  </r>
  <r>
    <n v="17"/>
    <x v="8"/>
    <n v="1608"/>
    <s v="DEUZIANI"/>
    <x v="4"/>
    <x v="0"/>
    <n v="95000"/>
    <n v="54"/>
    <n v="54"/>
    <n v="46090.05"/>
    <n v="33305.030747999997"/>
    <n v="0"/>
    <n v="27.74"/>
    <n v="21.81"/>
    <n v="366554.89"/>
    <n v="265187.54963199998"/>
    <n v="0"/>
    <n v="27.65"/>
    <n v="36"/>
    <n v="21"/>
    <n v="21"/>
    <n v="265"/>
    <n v="12"/>
    <n v="95000"/>
    <n v="3700.52"/>
    <n v="2"/>
    <n v="26.11"/>
    <n v="2975"/>
    <n v="510000"/>
    <n v="510000"/>
    <n v="366554.89"/>
    <n v="280"/>
    <n v="192"/>
    <n v="280"/>
  </r>
  <r>
    <n v="12"/>
    <x v="6"/>
    <n v="1609"/>
    <s v="DENYSON"/>
    <x v="4"/>
    <x v="0"/>
    <n v="55000"/>
    <n v="60"/>
    <n v="60"/>
    <n v="26103.59"/>
    <n v="19877.644016999999"/>
    <n v="0"/>
    <n v="23.85"/>
    <n v="8.75"/>
    <n v="317813.88"/>
    <n v="244628.84228700001"/>
    <n v="0"/>
    <n v="23.03"/>
    <n v="46"/>
    <n v="21"/>
    <n v="21"/>
    <n v="160"/>
    <n v="6.53"/>
    <n v="55000"/>
    <n v="231.2"/>
    <n v="0"/>
    <n v="16.41"/>
    <n v="2975"/>
    <n v="634000"/>
    <n v="634000"/>
    <n v="317813.88"/>
    <n v="715"/>
    <n v="467"/>
    <n v="715"/>
  </r>
  <r>
    <n v="12"/>
    <x v="6"/>
    <n v="1610"/>
    <s v="CLAUDINEY"/>
    <x v="4"/>
    <x v="0"/>
    <n v="46000"/>
    <n v="55"/>
    <n v="55"/>
    <n v="18015.099999999999"/>
    <n v="13769.105782000001"/>
    <n v="0"/>
    <n v="23.57"/>
    <n v="13.11"/>
    <n v="317813.88"/>
    <n v="244628.84228700001"/>
    <n v="0"/>
    <n v="23.03"/>
    <n v="32"/>
    <n v="21"/>
    <n v="21"/>
    <n v="116"/>
    <n v="5.51"/>
    <n v="46000"/>
    <n v="73.8"/>
    <n v="4"/>
    <n v="16.41"/>
    <n v="2975"/>
    <n v="634000"/>
    <n v="634000"/>
    <n v="317813.88"/>
    <n v="715"/>
    <n v="467"/>
    <n v="715"/>
  </r>
  <r>
    <n v="10"/>
    <x v="1"/>
    <n v="1611"/>
    <s v="JUAM"/>
    <x v="4"/>
    <x v="0"/>
    <n v="90000"/>
    <n v="60"/>
    <n v="60"/>
    <n v="48035.98"/>
    <n v="36420.069237000003"/>
    <n v="0"/>
    <n v="24.18"/>
    <n v="24.51"/>
    <n v="609402.81000000006"/>
    <n v="466447.92965499999"/>
    <n v="0"/>
    <n v="23.46"/>
    <n v="38"/>
    <n v="21"/>
    <n v="21"/>
    <n v="221"/>
    <n v="9.41"/>
    <n v="90000"/>
    <n v="1942.83"/>
    <n v="1"/>
    <n v="22.93"/>
    <n v="2975"/>
    <n v="690000"/>
    <n v="690000"/>
    <n v="609402.81000000006"/>
    <n v="540"/>
    <n v="502"/>
    <n v="540"/>
  </r>
  <r>
    <n v="2"/>
    <x v="0"/>
    <n v="1612"/>
    <s v="CLEISON"/>
    <x v="4"/>
    <x v="0"/>
    <n v="90000"/>
    <n v="70"/>
    <n v="70"/>
    <n v="65492"/>
    <n v="48931.058270000001"/>
    <n v="0"/>
    <n v="25.29"/>
    <n v="18.96"/>
    <n v="879806.8"/>
    <n v="661206.86622500001"/>
    <n v="0"/>
    <n v="24.85"/>
    <n v="57"/>
    <n v="21"/>
    <n v="21"/>
    <n v="540"/>
    <n v="16.59"/>
    <n v="90000"/>
    <n v="1740.2"/>
    <n v="4"/>
    <n v="21.5"/>
    <n v="2975"/>
    <n v="1000000"/>
    <n v="1000000"/>
    <n v="881745.46"/>
    <n v="673"/>
    <n v="537"/>
    <n v="673"/>
  </r>
  <r>
    <n v="17"/>
    <x v="8"/>
    <n v="1613"/>
    <s v="JOSE"/>
    <x v="4"/>
    <x v="0"/>
    <n v="50000"/>
    <n v="50"/>
    <n v="50"/>
    <n v="48464.34"/>
    <n v="36587.782636999997"/>
    <n v="0"/>
    <n v="24.51"/>
    <n v="26.86"/>
    <n v="366554.89"/>
    <n v="265187.54963199998"/>
    <n v="0"/>
    <n v="27.65"/>
    <n v="28"/>
    <n v="21"/>
    <n v="21"/>
    <n v="216"/>
    <n v="9.08"/>
    <n v="50000"/>
    <n v="0"/>
    <n v="2"/>
    <n v="26.11"/>
    <n v="2975"/>
    <n v="510000"/>
    <n v="510000"/>
    <n v="366554.89"/>
    <n v="280"/>
    <n v="192"/>
    <n v="280"/>
  </r>
  <r>
    <n v="10"/>
    <x v="1"/>
    <n v="1614"/>
    <s v="RAIMUNDO"/>
    <x v="4"/>
    <x v="0"/>
    <n v="50000"/>
    <n v="55"/>
    <n v="55"/>
    <n v="17665.560000000001"/>
    <n v="13341.339988"/>
    <n v="0"/>
    <n v="24.48"/>
    <n v="20.95"/>
    <n v="609402.81000000006"/>
    <n v="466447.92965499999"/>
    <n v="0"/>
    <n v="23.46"/>
    <n v="15"/>
    <n v="21"/>
    <n v="21"/>
    <n v="165"/>
    <n v="13.06"/>
    <n v="50000"/>
    <n v="155.1"/>
    <n v="0"/>
    <n v="22.93"/>
    <n v="2975"/>
    <n v="690000"/>
    <n v="690000"/>
    <n v="609402.81000000006"/>
    <n v="540"/>
    <n v="502"/>
    <n v="540"/>
  </r>
  <r>
    <n v="20"/>
    <x v="7"/>
    <n v="1615"/>
    <s v="CLAUDIO"/>
    <x v="4"/>
    <x v="0"/>
    <n v="50000"/>
    <n v="40"/>
    <n v="40"/>
    <n v="8452.43"/>
    <n v="6301.5314559999997"/>
    <n v="0"/>
    <n v="25.45"/>
    <n v="38.81"/>
    <n v="333376.57"/>
    <n v="259671.58194999999"/>
    <n v="0"/>
    <n v="22.11"/>
    <n v="8"/>
    <n v="21"/>
    <n v="21"/>
    <n v="46"/>
    <n v="6.13"/>
    <n v="50000"/>
    <n v="0"/>
    <n v="0"/>
    <n v="27.14"/>
    <n v="2975"/>
    <n v="150000"/>
    <n v="150000"/>
    <n v="59351.44"/>
    <n v="120"/>
    <n v="61"/>
    <n v="120"/>
  </r>
  <r>
    <n v="4"/>
    <x v="2"/>
    <n v="1616"/>
    <s v="LEANDRO"/>
    <x v="4"/>
    <x v="0"/>
    <n v="26000"/>
    <n v="20"/>
    <n v="20"/>
    <n v="33253.629999999997"/>
    <n v="23929.622544999998"/>
    <n v="0"/>
    <n v="28.04"/>
    <n v="23.07"/>
    <n v="648535.30000000005"/>
    <n v="472008.05384399998"/>
    <n v="0"/>
    <n v="27.22"/>
    <n v="34"/>
    <n v="21"/>
    <n v="21"/>
    <n v="300"/>
    <n v="9.81"/>
    <n v="26000"/>
    <n v="0"/>
    <n v="0"/>
    <n v="24.13"/>
    <n v="2975"/>
    <n v="639000"/>
    <n v="639000"/>
    <n v="648535.30000000005"/>
    <n v="423"/>
    <n v="372"/>
    <n v="423"/>
  </r>
  <r>
    <n v="2"/>
    <x v="0"/>
    <n v="28"/>
    <s v="RAIMUNDO"/>
    <x v="5"/>
    <x v="0"/>
    <n v="0"/>
    <n v="0"/>
    <n v="0"/>
    <n v="271.77999999999997"/>
    <n v="1585.390449"/>
    <n v="0"/>
    <n v="-483.34"/>
    <n v="4.58"/>
    <n v="488596.11"/>
    <n v="370375.51799899997"/>
    <n v="0"/>
    <n v="24.2"/>
    <n v="1"/>
    <n v="20"/>
    <n v="13"/>
    <n v="30"/>
    <n v="1.63"/>
    <n v="0"/>
    <n v="0"/>
    <n v="0"/>
    <n v="23.05"/>
    <n v="1654"/>
    <n v="1000000"/>
    <n v="650000"/>
    <n v="488596.11"/>
    <n v="439"/>
    <n v="312"/>
    <n v="675"/>
  </r>
  <r>
    <n v="10"/>
    <x v="1"/>
    <n v="314"/>
    <s v="JOSE"/>
    <x v="5"/>
    <x v="0"/>
    <n v="90000"/>
    <n v="65"/>
    <n v="43"/>
    <n v="55445.56"/>
    <n v="40080.082589999998"/>
    <n v="0"/>
    <n v="27.71"/>
    <n v="23.95"/>
    <n v="332009.38"/>
    <n v="252895.49786800001"/>
    <n v="0"/>
    <n v="23.83"/>
    <n v="36"/>
    <n v="20"/>
    <n v="13"/>
    <n v="311"/>
    <n v="14.3"/>
    <n v="58500"/>
    <n v="212.47"/>
    <n v="0"/>
    <n v="23.57"/>
    <n v="1654"/>
    <n v="743000"/>
    <n v="482950"/>
    <n v="332009.38"/>
    <n v="351"/>
    <n v="266"/>
    <n v="540"/>
  </r>
  <r>
    <n v="4"/>
    <x v="2"/>
    <n v="374"/>
    <s v="EDVALDO"/>
    <x v="5"/>
    <x v="0"/>
    <n v="0"/>
    <n v="0"/>
    <n v="0"/>
    <n v="0"/>
    <n v="344.694591"/>
    <n v="0"/>
    <n v="0"/>
    <n v="1"/>
    <n v="245224.17"/>
    <n v="179460.27632199999"/>
    <n v="0"/>
    <n v="26.82"/>
    <n v="0"/>
    <n v="20"/>
    <n v="13"/>
    <n v="13"/>
    <n v="1.63"/>
    <n v="0"/>
    <n v="0"/>
    <n v="0"/>
    <n v="23.55"/>
    <n v="1654"/>
    <n v="639000"/>
    <n v="415350"/>
    <n v="245224.17"/>
    <n v="275"/>
    <n v="192"/>
    <n v="423"/>
  </r>
  <r>
    <n v="2"/>
    <x v="0"/>
    <n v="423"/>
    <s v="LENIVAL"/>
    <x v="5"/>
    <x v="0"/>
    <n v="95000"/>
    <n v="65"/>
    <n v="43"/>
    <n v="55741.65"/>
    <n v="41036.489482999998"/>
    <n v="0"/>
    <n v="26.38"/>
    <n v="18.7"/>
    <n v="488596.11"/>
    <n v="370375.51799899997"/>
    <n v="0"/>
    <n v="24.2"/>
    <n v="47"/>
    <n v="20"/>
    <n v="13"/>
    <n v="310"/>
    <n v="9.94"/>
    <n v="61750"/>
    <n v="206.1"/>
    <n v="2"/>
    <n v="23.05"/>
    <n v="1654"/>
    <n v="1000000"/>
    <n v="650000"/>
    <n v="488596.11"/>
    <n v="439"/>
    <n v="312"/>
    <n v="675"/>
  </r>
  <r>
    <n v="6"/>
    <x v="3"/>
    <n v="465"/>
    <s v="FELIPE"/>
    <x v="5"/>
    <x v="0"/>
    <n v="85000"/>
    <n v="82"/>
    <n v="54"/>
    <n v="49618.12"/>
    <n v="37704.778069"/>
    <n v="0"/>
    <n v="24.01"/>
    <n v="15.71"/>
    <n v="366742.08"/>
    <n v="279745.02127199998"/>
    <n v="0"/>
    <n v="23.72"/>
    <n v="55"/>
    <n v="20"/>
    <n v="13"/>
    <n v="149"/>
    <n v="7.08"/>
    <n v="55250"/>
    <n v="183.8"/>
    <n v="0"/>
    <n v="18.899999999999999"/>
    <n v="1654"/>
    <n v="842000"/>
    <n v="547300"/>
    <n v="366742.08"/>
    <n v="507"/>
    <n v="357"/>
    <n v="780"/>
  </r>
  <r>
    <n v="6"/>
    <x v="3"/>
    <n v="481"/>
    <s v="LUIZ"/>
    <x v="5"/>
    <x v="0"/>
    <n v="100000"/>
    <n v="100"/>
    <n v="65"/>
    <n v="48047.97"/>
    <n v="36957.684801000003"/>
    <n v="0"/>
    <n v="23.08"/>
    <n v="19.39"/>
    <n v="366742.08"/>
    <n v="279745.02127199998"/>
    <n v="0"/>
    <n v="23.72"/>
    <n v="41"/>
    <n v="20"/>
    <n v="13"/>
    <n v="265"/>
    <n v="10.130000000000001"/>
    <n v="65000"/>
    <n v="295.60000000000002"/>
    <n v="1"/>
    <n v="18.899999999999999"/>
    <n v="1654"/>
    <n v="842000"/>
    <n v="547300"/>
    <n v="366742.08"/>
    <n v="507"/>
    <n v="357"/>
    <n v="780"/>
  </r>
  <r>
    <n v="2"/>
    <x v="0"/>
    <n v="520"/>
    <s v="AILTON"/>
    <x v="5"/>
    <x v="0"/>
    <n v="95000"/>
    <n v="65"/>
    <n v="43"/>
    <n v="36496.61"/>
    <n v="27051.721109999999"/>
    <n v="0"/>
    <n v="25.88"/>
    <n v="28.35"/>
    <n v="488596.11"/>
    <n v="370375.51799899997"/>
    <n v="0"/>
    <n v="24.2"/>
    <n v="22"/>
    <n v="20"/>
    <n v="13"/>
    <n v="183"/>
    <n v="16"/>
    <n v="61750"/>
    <n v="1468.05"/>
    <n v="0"/>
    <n v="23.05"/>
    <n v="1654"/>
    <n v="1000000"/>
    <n v="650000"/>
    <n v="488596.11"/>
    <n v="439"/>
    <n v="312"/>
    <n v="675"/>
  </r>
  <r>
    <n v="2"/>
    <x v="0"/>
    <n v="577"/>
    <s v="NELITON"/>
    <x v="5"/>
    <x v="0"/>
    <n v="95000"/>
    <n v="15"/>
    <n v="10"/>
    <n v="36003.050000000003"/>
    <n v="30827.978577000002"/>
    <n v="0"/>
    <n v="14.37"/>
    <n v="19.41"/>
    <n v="488596.11"/>
    <n v="370375.51799899997"/>
    <n v="0"/>
    <n v="24.2"/>
    <n v="6"/>
    <n v="20"/>
    <n v="13"/>
    <n v="44"/>
    <n v="5.18"/>
    <n v="61750"/>
    <n v="0"/>
    <n v="0"/>
    <n v="23.05"/>
    <n v="1654"/>
    <n v="1000000"/>
    <n v="650000"/>
    <n v="488596.11"/>
    <n v="439"/>
    <n v="312"/>
    <n v="675"/>
  </r>
  <r>
    <n v="6"/>
    <x v="3"/>
    <n v="644"/>
    <s v="LUCIANO"/>
    <x v="5"/>
    <x v="0"/>
    <n v="0"/>
    <n v="0"/>
    <n v="0"/>
    <n v="0"/>
    <n v="1148.908833"/>
    <n v="0"/>
    <n v="0"/>
    <n v="1"/>
    <n v="366742.08"/>
    <n v="279745.02127199998"/>
    <n v="0"/>
    <n v="23.72"/>
    <n v="0"/>
    <n v="20"/>
    <n v="13"/>
    <n v="18"/>
    <n v="3.6"/>
    <n v="0"/>
    <n v="0"/>
    <n v="0"/>
    <n v="18.899999999999999"/>
    <n v="1654"/>
    <n v="842000"/>
    <n v="547300"/>
    <n v="366742.08"/>
    <n v="507"/>
    <n v="357"/>
    <n v="780"/>
  </r>
  <r>
    <n v="26"/>
    <x v="4"/>
    <n v="661"/>
    <s v="LUCIO"/>
    <x v="5"/>
    <x v="0"/>
    <n v="90000"/>
    <n v="55"/>
    <n v="36"/>
    <n v="23435.29"/>
    <n v="18217.073582000001"/>
    <n v="0"/>
    <n v="22.27"/>
    <n v="17.149999999999999"/>
    <n v="402890.95"/>
    <n v="311837.77215999999"/>
    <n v="0"/>
    <n v="22.6"/>
    <n v="27"/>
    <n v="20"/>
    <n v="13"/>
    <n v="149"/>
    <n v="10.86"/>
    <n v="58500"/>
    <n v="984.83"/>
    <n v="0"/>
    <n v="28.26"/>
    <n v="1654"/>
    <n v="790000"/>
    <n v="513500"/>
    <n v="402890.95"/>
    <n v="380"/>
    <n v="299"/>
    <n v="584"/>
  </r>
  <r>
    <n v="2"/>
    <x v="0"/>
    <n v="690"/>
    <s v="MARCIO"/>
    <x v="5"/>
    <x v="0"/>
    <n v="95000"/>
    <n v="85"/>
    <n v="56"/>
    <n v="39840.29"/>
    <n v="30349.165596999999"/>
    <n v="0"/>
    <n v="23.82"/>
    <n v="16.850000000000001"/>
    <n v="488596.11"/>
    <n v="370375.51799899997"/>
    <n v="0"/>
    <n v="24.2"/>
    <n v="43"/>
    <n v="20"/>
    <n v="13"/>
    <n v="266"/>
    <n v="13.96"/>
    <n v="61750"/>
    <n v="1107.1500000000001"/>
    <n v="0"/>
    <n v="23.05"/>
    <n v="1654"/>
    <n v="1000000"/>
    <n v="650000"/>
    <n v="488596.11"/>
    <n v="439"/>
    <n v="312"/>
    <n v="675"/>
  </r>
  <r>
    <n v="6"/>
    <x v="3"/>
    <n v="704"/>
    <s v="GLEIDSON"/>
    <x v="5"/>
    <x v="0"/>
    <n v="0"/>
    <n v="0"/>
    <n v="0"/>
    <n v="0"/>
    <n v="56.246442000000002"/>
    <n v="0"/>
    <n v="0"/>
    <n v="1"/>
    <n v="366742.08"/>
    <n v="279745.02127199998"/>
    <n v="0"/>
    <n v="23.72"/>
    <n v="0"/>
    <n v="20"/>
    <n v="13"/>
    <n v="3"/>
    <n v="3"/>
    <n v="0"/>
    <n v="0"/>
    <n v="0"/>
    <n v="18.899999999999999"/>
    <n v="1654"/>
    <n v="842000"/>
    <n v="547300"/>
    <n v="366742.08"/>
    <n v="507"/>
    <n v="357"/>
    <n v="780"/>
  </r>
  <r>
    <n v="26"/>
    <x v="4"/>
    <n v="705"/>
    <s v="HENRIQUERSON"/>
    <x v="5"/>
    <x v="0"/>
    <n v="85000"/>
    <n v="35"/>
    <n v="23"/>
    <n v="36425.82"/>
    <n v="28126.919134"/>
    <n v="0"/>
    <n v="22.78"/>
    <n v="15.54"/>
    <n v="402890.95"/>
    <n v="311837.77215999999"/>
    <n v="0"/>
    <n v="22.6"/>
    <n v="11"/>
    <n v="20"/>
    <n v="13"/>
    <n v="166"/>
    <n v="13.2"/>
    <n v="55250"/>
    <n v="0"/>
    <n v="0"/>
    <n v="28.26"/>
    <n v="1654"/>
    <n v="790000"/>
    <n v="513500"/>
    <n v="402890.95"/>
    <n v="380"/>
    <n v="299"/>
    <n v="584"/>
  </r>
  <r>
    <n v="2"/>
    <x v="0"/>
    <n v="756"/>
    <s v="EDERLEI"/>
    <x v="5"/>
    <x v="0"/>
    <n v="95000"/>
    <n v="57"/>
    <n v="38"/>
    <n v="57375.28"/>
    <n v="44554.177548"/>
    <n v="0"/>
    <n v="22.35"/>
    <n v="31.4"/>
    <n v="488596.11"/>
    <n v="370375.51799899997"/>
    <n v="0"/>
    <n v="24.2"/>
    <n v="39"/>
    <n v="20"/>
    <n v="13"/>
    <n v="234"/>
    <n v="11.94"/>
    <n v="61750"/>
    <n v="52.53"/>
    <n v="2"/>
    <n v="23.05"/>
    <n v="1654"/>
    <n v="1000000"/>
    <n v="650000"/>
    <n v="488596.11"/>
    <n v="439"/>
    <n v="312"/>
    <n v="675"/>
  </r>
  <r>
    <n v="26"/>
    <x v="4"/>
    <n v="759"/>
    <s v="FRANCISCA"/>
    <x v="5"/>
    <x v="0"/>
    <n v="50000"/>
    <n v="47"/>
    <n v="31"/>
    <n v="22593.83"/>
    <n v="17002.802638000001"/>
    <n v="0"/>
    <n v="24.75"/>
    <n v="19.920000000000002"/>
    <n v="402890.95"/>
    <n v="311837.77215999999"/>
    <n v="0"/>
    <n v="22.6"/>
    <n v="24"/>
    <n v="20"/>
    <n v="13"/>
    <n v="174"/>
    <n v="10.79"/>
    <n v="32500"/>
    <n v="0"/>
    <n v="0"/>
    <n v="28.26"/>
    <n v="1654"/>
    <n v="790000"/>
    <n v="513500"/>
    <n v="402890.95"/>
    <n v="380"/>
    <n v="299"/>
    <n v="584"/>
  </r>
  <r>
    <n v="5"/>
    <x v="5"/>
    <n v="760"/>
    <s v="JEAN"/>
    <x v="5"/>
    <x v="0"/>
    <n v="147000"/>
    <n v="30"/>
    <n v="20"/>
    <n v="60121.599999999999"/>
    <n v="45941.573819999998"/>
    <n v="0"/>
    <n v="23.59"/>
    <n v="37.9"/>
    <n v="153597.82999999999"/>
    <n v="121903.883544"/>
    <n v="0"/>
    <n v="20.63"/>
    <n v="27"/>
    <n v="20"/>
    <n v="13"/>
    <n v="107"/>
    <n v="6.2"/>
    <n v="95550"/>
    <n v="2312.35"/>
    <n v="0"/>
    <n v="35.04"/>
    <n v="1654"/>
    <n v="332000"/>
    <n v="215800"/>
    <n v="153597.82999999999"/>
    <n v="65"/>
    <n v="79"/>
    <n v="100"/>
  </r>
  <r>
    <n v="6"/>
    <x v="3"/>
    <n v="764"/>
    <s v="JORGE"/>
    <x v="5"/>
    <x v="0"/>
    <n v="108000"/>
    <n v="83"/>
    <n v="54"/>
    <n v="33112.19"/>
    <n v="25415.160673999999"/>
    <n v="0"/>
    <n v="23.25"/>
    <n v="15.48"/>
    <n v="366742.08"/>
    <n v="279745.02127199998"/>
    <n v="0"/>
    <n v="23.72"/>
    <n v="50"/>
    <n v="20"/>
    <n v="13"/>
    <n v="251"/>
    <n v="9.36"/>
    <n v="70200"/>
    <n v="224"/>
    <n v="0"/>
    <n v="18.899999999999999"/>
    <n v="1654"/>
    <n v="842000"/>
    <n v="547300"/>
    <n v="366742.08"/>
    <n v="507"/>
    <n v="357"/>
    <n v="780"/>
  </r>
  <r>
    <n v="26"/>
    <x v="4"/>
    <n v="796"/>
    <s v="PEDRO"/>
    <x v="5"/>
    <x v="0"/>
    <n v="35000"/>
    <n v="1"/>
    <n v="1"/>
    <n v="32346.61"/>
    <n v="28294.669082"/>
    <n v="0"/>
    <n v="12.53"/>
    <n v="61.82"/>
    <n v="402890.95"/>
    <n v="311837.77215999999"/>
    <n v="0"/>
    <n v="22.6"/>
    <n v="1"/>
    <n v="20"/>
    <n v="13"/>
    <n v="284"/>
    <n v="18.190000000000001"/>
    <n v="22750"/>
    <n v="31.87"/>
    <n v="0"/>
    <n v="28.26"/>
    <n v="1654"/>
    <n v="790000"/>
    <n v="513500"/>
    <n v="402890.95"/>
    <n v="380"/>
    <n v="299"/>
    <n v="584"/>
  </r>
  <r>
    <n v="12"/>
    <x v="6"/>
    <n v="800"/>
    <s v="WANDERSON"/>
    <x v="5"/>
    <x v="0"/>
    <n v="70000"/>
    <n v="65"/>
    <n v="43"/>
    <n v="9404.82"/>
    <n v="7241.507044"/>
    <n v="0"/>
    <n v="23"/>
    <n v="11.89"/>
    <n v="194596.38"/>
    <n v="150209.46789699999"/>
    <n v="0"/>
    <n v="22.81"/>
    <n v="21"/>
    <n v="20"/>
    <n v="13"/>
    <n v="114"/>
    <n v="6.83"/>
    <n v="45500"/>
    <n v="196.79"/>
    <n v="0"/>
    <n v="15.87"/>
    <n v="1654"/>
    <n v="634000"/>
    <n v="412100"/>
    <n v="194596.38"/>
    <n v="446"/>
    <n v="277"/>
    <n v="685"/>
  </r>
  <r>
    <n v="2"/>
    <x v="0"/>
    <n v="817"/>
    <s v="GUTEMBERG"/>
    <x v="5"/>
    <x v="0"/>
    <n v="95000"/>
    <n v="68"/>
    <n v="45"/>
    <n v="68020.37"/>
    <n v="50666.482583999998"/>
    <n v="0"/>
    <n v="25.51"/>
    <n v="21.25"/>
    <n v="488596.11"/>
    <n v="370375.51799899997"/>
    <n v="0"/>
    <n v="24.2"/>
    <n v="35"/>
    <n v="20"/>
    <n v="13"/>
    <n v="297"/>
    <n v="12.79"/>
    <n v="61750"/>
    <n v="155.94999999999999"/>
    <n v="0"/>
    <n v="23.05"/>
    <n v="1654"/>
    <n v="1000000"/>
    <n v="650000"/>
    <n v="488596.11"/>
    <n v="439"/>
    <n v="312"/>
    <n v="675"/>
  </r>
  <r>
    <n v="12"/>
    <x v="6"/>
    <n v="853"/>
    <s v="KELLY"/>
    <x v="5"/>
    <x v="0"/>
    <n v="55000"/>
    <n v="60"/>
    <n v="39"/>
    <n v="30496.62"/>
    <n v="23859.106371000002"/>
    <n v="0"/>
    <n v="21.76"/>
    <n v="16.37"/>
    <n v="194596.38"/>
    <n v="150209.46789699999"/>
    <n v="0"/>
    <n v="22.81"/>
    <n v="37"/>
    <n v="20"/>
    <n v="13"/>
    <n v="201"/>
    <n v="9.7899999999999991"/>
    <n v="35750"/>
    <n v="2134.5700000000002"/>
    <n v="1"/>
    <n v="15.87"/>
    <n v="1654"/>
    <n v="634000"/>
    <n v="412100"/>
    <n v="194596.38"/>
    <n v="446"/>
    <n v="277"/>
    <n v="685"/>
  </r>
  <r>
    <n v="12"/>
    <x v="6"/>
    <n v="884"/>
    <s v="JOILSON"/>
    <x v="5"/>
    <x v="0"/>
    <n v="76000"/>
    <n v="75"/>
    <n v="49"/>
    <n v="0"/>
    <n v="689.09216200000003"/>
    <n v="0"/>
    <n v="0"/>
    <n v="1"/>
    <n v="194596.38"/>
    <n v="150209.46789699999"/>
    <n v="0"/>
    <n v="22.81"/>
    <n v="0"/>
    <n v="20"/>
    <n v="13"/>
    <n v="21"/>
    <n v="2.5"/>
    <n v="49400"/>
    <n v="0"/>
    <n v="0"/>
    <n v="15.87"/>
    <n v="1654"/>
    <n v="634000"/>
    <n v="412100"/>
    <n v="194596.38"/>
    <n v="446"/>
    <n v="277"/>
    <n v="685"/>
  </r>
  <r>
    <n v="5"/>
    <x v="5"/>
    <n v="915"/>
    <s v="THIAGO"/>
    <x v="5"/>
    <x v="0"/>
    <n v="0"/>
    <n v="0"/>
    <n v="0"/>
    <n v="0"/>
    <n v="412.389544"/>
    <n v="0"/>
    <n v="0"/>
    <n v="1"/>
    <n v="153597.82999999999"/>
    <n v="121903.883544"/>
    <n v="0"/>
    <n v="20.63"/>
    <n v="0"/>
    <n v="20"/>
    <n v="13"/>
    <n v="2"/>
    <n v="2"/>
    <n v="0"/>
    <n v="603.66"/>
    <n v="0"/>
    <n v="35.04"/>
    <n v="1654"/>
    <n v="332000"/>
    <n v="215800"/>
    <n v="153597.82999999999"/>
    <n v="65"/>
    <n v="79"/>
    <n v="100"/>
  </r>
  <r>
    <n v="10"/>
    <x v="1"/>
    <n v="922"/>
    <s v="SILVANA"/>
    <x v="5"/>
    <x v="0"/>
    <n v="70000"/>
    <n v="70"/>
    <n v="46"/>
    <n v="27023.46"/>
    <n v="20677.804424000002"/>
    <n v="0"/>
    <n v="23.48"/>
    <n v="14.28"/>
    <n v="332009.38"/>
    <n v="252895.49786800001"/>
    <n v="0"/>
    <n v="23.83"/>
    <n v="28"/>
    <n v="20"/>
    <n v="13"/>
    <n v="269"/>
    <n v="12.15"/>
    <n v="45500"/>
    <n v="0"/>
    <n v="0"/>
    <n v="23.57"/>
    <n v="1654"/>
    <n v="743000"/>
    <n v="482950"/>
    <n v="332009.38"/>
    <n v="351"/>
    <n v="266"/>
    <n v="540"/>
  </r>
  <r>
    <n v="4"/>
    <x v="2"/>
    <n v="949"/>
    <s v="JOCINELMA"/>
    <x v="5"/>
    <x v="0"/>
    <n v="105000"/>
    <n v="65"/>
    <n v="43"/>
    <n v="49662.76"/>
    <n v="37008.705534000001"/>
    <n v="0"/>
    <n v="25.48"/>
    <n v="24.18"/>
    <n v="245224.17"/>
    <n v="179460.27632199999"/>
    <n v="0"/>
    <n v="26.82"/>
    <n v="32"/>
    <n v="20"/>
    <n v="13"/>
    <n v="466"/>
    <n v="14.16"/>
    <n v="68250"/>
    <n v="0"/>
    <n v="1"/>
    <n v="23.55"/>
    <n v="1654"/>
    <n v="639000"/>
    <n v="415350"/>
    <n v="245224.17"/>
    <n v="275"/>
    <n v="192"/>
    <n v="423"/>
  </r>
  <r>
    <n v="26"/>
    <x v="4"/>
    <n v="950"/>
    <s v="PEDRO"/>
    <x v="5"/>
    <x v="0"/>
    <n v="70000"/>
    <n v="60"/>
    <n v="39"/>
    <n v="41133.03"/>
    <n v="31378.642359000001"/>
    <n v="0"/>
    <n v="23.71"/>
    <n v="23.38"/>
    <n v="402890.95"/>
    <n v="311837.77215999999"/>
    <n v="0"/>
    <n v="22.6"/>
    <n v="37"/>
    <n v="20"/>
    <n v="13"/>
    <n v="219"/>
    <n v="8.6"/>
    <n v="45500"/>
    <n v="0"/>
    <n v="0"/>
    <n v="28.26"/>
    <n v="1654"/>
    <n v="790000"/>
    <n v="513500"/>
    <n v="402890.95"/>
    <n v="380"/>
    <n v="299"/>
    <n v="584"/>
  </r>
  <r>
    <n v="26"/>
    <x v="4"/>
    <n v="962"/>
    <s v="ROMARIO"/>
    <x v="5"/>
    <x v="0"/>
    <n v="45000"/>
    <n v="47"/>
    <n v="31"/>
    <n v="25725.93"/>
    <n v="19388.700443999998"/>
    <n v="0"/>
    <n v="24.63"/>
    <n v="19.14"/>
    <n v="402890.95"/>
    <n v="311837.77215999999"/>
    <n v="0"/>
    <n v="22.6"/>
    <n v="22"/>
    <n v="20"/>
    <n v="13"/>
    <n v="231"/>
    <n v="11.31"/>
    <n v="29250"/>
    <n v="0"/>
    <n v="0"/>
    <n v="28.26"/>
    <n v="1654"/>
    <n v="790000"/>
    <n v="513500"/>
    <n v="402890.95"/>
    <n v="380"/>
    <n v="299"/>
    <n v="584"/>
  </r>
  <r>
    <n v="4"/>
    <x v="2"/>
    <n v="977"/>
    <s v="EVERTON"/>
    <x v="5"/>
    <x v="0"/>
    <n v="150000"/>
    <n v="94"/>
    <n v="62"/>
    <n v="65051.44"/>
    <n v="47187.007789000003"/>
    <n v="0"/>
    <n v="27.46"/>
    <n v="22.73"/>
    <n v="245224.17"/>
    <n v="179460.27632199999"/>
    <n v="0"/>
    <n v="26.82"/>
    <n v="42"/>
    <n v="20"/>
    <n v="13"/>
    <n v="515"/>
    <n v="16.21"/>
    <n v="97500"/>
    <n v="0"/>
    <n v="1"/>
    <n v="23.55"/>
    <n v="1654"/>
    <n v="639000"/>
    <n v="415350"/>
    <n v="245224.17"/>
    <n v="275"/>
    <n v="192"/>
    <n v="423"/>
  </r>
  <r>
    <n v="6"/>
    <x v="3"/>
    <n v="983"/>
    <s v="CRISTIELLEN"/>
    <x v="5"/>
    <x v="0"/>
    <n v="105000"/>
    <n v="100"/>
    <n v="65"/>
    <n v="63746.78"/>
    <n v="49303.620228"/>
    <n v="0"/>
    <n v="22.66"/>
    <n v="16.8"/>
    <n v="366742.08"/>
    <n v="279745.02127199998"/>
    <n v="0"/>
    <n v="23.72"/>
    <n v="45"/>
    <n v="20"/>
    <n v="13"/>
    <n v="357"/>
    <n v="16.829999999999998"/>
    <n v="68250"/>
    <n v="351.84"/>
    <n v="1"/>
    <n v="18.899999999999999"/>
    <n v="1654"/>
    <n v="842000"/>
    <n v="547300"/>
    <n v="366742.08"/>
    <n v="507"/>
    <n v="357"/>
    <n v="780"/>
  </r>
  <r>
    <n v="5"/>
    <x v="5"/>
    <n v="990"/>
    <s v="NATANE"/>
    <x v="5"/>
    <x v="0"/>
    <n v="70000"/>
    <n v="20"/>
    <n v="13"/>
    <n v="17332.41"/>
    <n v="14677.384786000001"/>
    <n v="0"/>
    <n v="15.32"/>
    <n v="33.659999999999997"/>
    <n v="153597.82999999999"/>
    <n v="121903.883544"/>
    <n v="0"/>
    <n v="20.63"/>
    <n v="8"/>
    <n v="20"/>
    <n v="13"/>
    <n v="21"/>
    <n v="4.75"/>
    <n v="45500"/>
    <n v="1317.8"/>
    <n v="0"/>
    <n v="35.04"/>
    <n v="1654"/>
    <n v="332000"/>
    <n v="215800"/>
    <n v="153597.82999999999"/>
    <n v="65"/>
    <n v="79"/>
    <n v="100"/>
  </r>
  <r>
    <n v="26"/>
    <x v="4"/>
    <n v="1023"/>
    <s v="JOSINILDO"/>
    <x v="5"/>
    <x v="0"/>
    <n v="85000"/>
    <n v="80"/>
    <n v="52"/>
    <n v="48581.279999999999"/>
    <n v="36704.823735999998"/>
    <n v="0"/>
    <n v="24.45"/>
    <n v="24.8"/>
    <n v="402890.95"/>
    <n v="311837.77215999999"/>
    <n v="0"/>
    <n v="22.6"/>
    <n v="35"/>
    <n v="20"/>
    <n v="13"/>
    <n v="335"/>
    <n v="13.69"/>
    <n v="55250"/>
    <n v="4226.0600000000004"/>
    <n v="0"/>
    <n v="28.26"/>
    <n v="1654"/>
    <n v="790000"/>
    <n v="513500"/>
    <n v="402890.95"/>
    <n v="380"/>
    <n v="299"/>
    <n v="584"/>
  </r>
  <r>
    <n v="2"/>
    <x v="0"/>
    <n v="1027"/>
    <s v="SUELI"/>
    <x v="5"/>
    <x v="0"/>
    <n v="65000"/>
    <n v="45"/>
    <n v="30"/>
    <n v="34793.699999999997"/>
    <n v="26250.891551000001"/>
    <n v="0"/>
    <n v="24.55"/>
    <n v="21.3"/>
    <n v="488596.11"/>
    <n v="370375.51799899997"/>
    <n v="0"/>
    <n v="24.2"/>
    <n v="27"/>
    <n v="20"/>
    <n v="13"/>
    <n v="296"/>
    <n v="13.12"/>
    <n v="42250"/>
    <n v="0"/>
    <n v="0"/>
    <n v="23.05"/>
    <n v="1654"/>
    <n v="1000000"/>
    <n v="650000"/>
    <n v="488596.11"/>
    <n v="439"/>
    <n v="312"/>
    <n v="675"/>
  </r>
  <r>
    <n v="12"/>
    <x v="6"/>
    <n v="1036"/>
    <s v="LUIZ"/>
    <x v="5"/>
    <x v="0"/>
    <n v="46000"/>
    <n v="60"/>
    <n v="39"/>
    <n v="18498.400000000001"/>
    <n v="14250.617147000001"/>
    <n v="0"/>
    <n v="22.96"/>
    <n v="12.27"/>
    <n v="194596.38"/>
    <n v="150209.46789699999"/>
    <n v="0"/>
    <n v="22.81"/>
    <n v="25"/>
    <n v="20"/>
    <n v="13"/>
    <n v="107"/>
    <n v="7.76"/>
    <n v="29900"/>
    <n v="496.47"/>
    <n v="0"/>
    <n v="15.87"/>
    <n v="1654"/>
    <n v="634000"/>
    <n v="412100"/>
    <n v="194596.38"/>
    <n v="446"/>
    <n v="277"/>
    <n v="685"/>
  </r>
  <r>
    <n v="12"/>
    <x v="6"/>
    <n v="1068"/>
    <s v="AMARO"/>
    <x v="5"/>
    <x v="0"/>
    <n v="65000"/>
    <n v="60"/>
    <n v="39"/>
    <n v="34968.93"/>
    <n v="26785.264725000001"/>
    <n v="0"/>
    <n v="23.4"/>
    <n v="22.63"/>
    <n v="194596.38"/>
    <n v="150209.46789699999"/>
    <n v="0"/>
    <n v="22.81"/>
    <n v="33"/>
    <n v="20"/>
    <n v="13"/>
    <n v="256"/>
    <n v="9.9600000000000009"/>
    <n v="42250"/>
    <n v="0"/>
    <n v="0"/>
    <n v="15.87"/>
    <n v="1654"/>
    <n v="634000"/>
    <n v="412100"/>
    <n v="194596.38"/>
    <n v="446"/>
    <n v="277"/>
    <n v="685"/>
  </r>
  <r>
    <n v="6"/>
    <x v="3"/>
    <n v="1237"/>
    <s v="MARCOS"/>
    <x v="5"/>
    <x v="0"/>
    <n v="0"/>
    <n v="0"/>
    <n v="0"/>
    <n v="3608.23"/>
    <n v="2657.1373509999999"/>
    <n v="0"/>
    <n v="26.36"/>
    <n v="23.4"/>
    <n v="366742.08"/>
    <n v="279745.02127199998"/>
    <n v="0"/>
    <n v="23.72"/>
    <n v="5"/>
    <n v="20"/>
    <n v="13"/>
    <n v="56"/>
    <n v="12.2"/>
    <n v="0"/>
    <n v="0"/>
    <n v="0"/>
    <n v="18.899999999999999"/>
    <n v="1654"/>
    <n v="842000"/>
    <n v="547300"/>
    <n v="366742.08"/>
    <n v="507"/>
    <n v="357"/>
    <n v="780"/>
  </r>
  <r>
    <n v="26"/>
    <x v="4"/>
    <n v="1238"/>
    <s v="MARY"/>
    <x v="5"/>
    <x v="0"/>
    <n v="40000"/>
    <n v="13"/>
    <n v="9"/>
    <n v="17193.740000000002"/>
    <n v="13491.397171000001"/>
    <n v="0"/>
    <n v="21.53"/>
    <n v="33.92"/>
    <n v="402890.95"/>
    <n v="311837.77215999999"/>
    <n v="0"/>
    <n v="22.6"/>
    <n v="6"/>
    <n v="20"/>
    <n v="13"/>
    <n v="61"/>
    <n v="7.6"/>
    <n v="26000"/>
    <n v="793.47"/>
    <n v="2"/>
    <n v="28.26"/>
    <n v="1654"/>
    <n v="790000"/>
    <n v="513500"/>
    <n v="402890.95"/>
    <n v="380"/>
    <n v="299"/>
    <n v="584"/>
  </r>
  <r>
    <n v="26"/>
    <x v="4"/>
    <n v="1265"/>
    <s v="SAMUEL"/>
    <x v="5"/>
    <x v="0"/>
    <n v="100000"/>
    <n v="85"/>
    <n v="56"/>
    <n v="65306.75"/>
    <n v="49598.711580000003"/>
    <n v="0"/>
    <n v="24.05"/>
    <n v="24.97"/>
    <n v="402890.95"/>
    <n v="311837.77215999999"/>
    <n v="0"/>
    <n v="22.6"/>
    <n v="47"/>
    <n v="20"/>
    <n v="13"/>
    <n v="249"/>
    <n v="8.8000000000000007"/>
    <n v="65000"/>
    <n v="257.77999999999997"/>
    <n v="1"/>
    <n v="28.26"/>
    <n v="1654"/>
    <n v="790000"/>
    <n v="513500"/>
    <n v="402890.95"/>
    <n v="380"/>
    <n v="299"/>
    <n v="584"/>
  </r>
  <r>
    <n v="10"/>
    <x v="1"/>
    <n v="1271"/>
    <s v="ALISON"/>
    <x v="5"/>
    <x v="0"/>
    <n v="130000"/>
    <n v="85"/>
    <n v="56"/>
    <n v="25930.21"/>
    <n v="19751.287555999999"/>
    <n v="0"/>
    <n v="23.83"/>
    <n v="9.8000000000000007"/>
    <n v="332009.38"/>
    <n v="252895.49786800001"/>
    <n v="0"/>
    <n v="23.83"/>
    <n v="31"/>
    <n v="20"/>
    <n v="13"/>
    <n v="228"/>
    <n v="8.7899999999999991"/>
    <n v="84500"/>
    <n v="64.8"/>
    <n v="0"/>
    <n v="23.57"/>
    <n v="1654"/>
    <n v="743000"/>
    <n v="482950"/>
    <n v="332009.38"/>
    <n v="351"/>
    <n v="266"/>
    <n v="540"/>
  </r>
  <r>
    <n v="2"/>
    <x v="0"/>
    <n v="1280"/>
    <s v="ARIANE"/>
    <x v="5"/>
    <x v="0"/>
    <n v="80000"/>
    <n v="55"/>
    <n v="36"/>
    <n v="56101.89"/>
    <n v="39931.110111000002"/>
    <n v="0"/>
    <n v="28.82"/>
    <n v="21.19"/>
    <n v="488596.11"/>
    <n v="370375.51799899997"/>
    <n v="0"/>
    <n v="24.2"/>
    <n v="22"/>
    <n v="20"/>
    <n v="13"/>
    <n v="353"/>
    <n v="16.5"/>
    <n v="52000"/>
    <n v="241.44"/>
    <n v="0"/>
    <n v="23.05"/>
    <n v="1654"/>
    <n v="1000000"/>
    <n v="650000"/>
    <n v="488596.11"/>
    <n v="439"/>
    <n v="312"/>
    <n v="675"/>
  </r>
  <r>
    <n v="17"/>
    <x v="8"/>
    <n v="1292"/>
    <s v="EMANOEL"/>
    <x v="5"/>
    <x v="0"/>
    <n v="100000"/>
    <n v="55"/>
    <n v="36"/>
    <n v="29907.39"/>
    <n v="21272.696682999998"/>
    <n v="0"/>
    <n v="28.87"/>
    <n v="22.58"/>
    <n v="172830.32"/>
    <n v="124747.158641"/>
    <n v="0"/>
    <n v="27.82"/>
    <n v="21"/>
    <n v="20"/>
    <n v="13"/>
    <n v="215"/>
    <n v="13.33"/>
    <n v="65000"/>
    <n v="0"/>
    <n v="0"/>
    <n v="22.48"/>
    <n v="1654"/>
    <n v="510000"/>
    <n v="331500"/>
    <n v="172830.32"/>
    <n v="182"/>
    <n v="112"/>
    <n v="280"/>
  </r>
  <r>
    <n v="6"/>
    <x v="3"/>
    <n v="1337"/>
    <s v="IZABELLI"/>
    <x v="5"/>
    <x v="0"/>
    <n v="65000"/>
    <n v="61"/>
    <n v="40"/>
    <n v="24415.75"/>
    <n v="18548.449282000001"/>
    <n v="0"/>
    <n v="24.03"/>
    <n v="18.77"/>
    <n v="366742.08"/>
    <n v="279745.02127199998"/>
    <n v="0"/>
    <n v="23.72"/>
    <n v="24"/>
    <n v="20"/>
    <n v="13"/>
    <n v="132"/>
    <n v="10.93"/>
    <n v="42250"/>
    <n v="38.799999999999997"/>
    <n v="1"/>
    <n v="18.899999999999999"/>
    <n v="1654"/>
    <n v="842000"/>
    <n v="547300"/>
    <n v="366742.08"/>
    <n v="507"/>
    <n v="357"/>
    <n v="780"/>
  </r>
  <r>
    <n v="17"/>
    <x v="8"/>
    <n v="1343"/>
    <s v="J.CRUZ"/>
    <x v="5"/>
    <x v="0"/>
    <n v="40000"/>
    <n v="1"/>
    <n v="1"/>
    <n v="5159.0600000000004"/>
    <n v="3493.7579909999999"/>
    <n v="0"/>
    <n v="32.28"/>
    <n v="28"/>
    <n v="172830.32"/>
    <n v="124747.158641"/>
    <n v="0"/>
    <n v="27.82"/>
    <n v="1"/>
    <n v="20"/>
    <n v="13"/>
    <n v="72"/>
    <n v="72"/>
    <n v="26000"/>
    <n v="0"/>
    <n v="0"/>
    <n v="22.48"/>
    <n v="1654"/>
    <n v="510000"/>
    <n v="331500"/>
    <n v="172830.32"/>
    <n v="182"/>
    <n v="112"/>
    <n v="280"/>
  </r>
  <r>
    <n v="6"/>
    <x v="3"/>
    <n v="1385"/>
    <s v="ADAUTO"/>
    <x v="5"/>
    <x v="0"/>
    <n v="75000"/>
    <n v="77"/>
    <n v="51"/>
    <n v="57946.8"/>
    <n v="43726.567052999999"/>
    <n v="0"/>
    <n v="24.54"/>
    <n v="22.34"/>
    <n v="366742.08"/>
    <n v="279745.02127199998"/>
    <n v="0"/>
    <n v="23.72"/>
    <n v="47"/>
    <n v="20"/>
    <n v="13"/>
    <n v="430"/>
    <n v="14.77"/>
    <n v="48750"/>
    <n v="524.64"/>
    <n v="0"/>
    <n v="18.899999999999999"/>
    <n v="1654"/>
    <n v="842000"/>
    <n v="547300"/>
    <n v="366742.08"/>
    <n v="507"/>
    <n v="357"/>
    <n v="780"/>
  </r>
  <r>
    <n v="12"/>
    <x v="6"/>
    <n v="1390"/>
    <s v="ADINALVA"/>
    <x v="5"/>
    <x v="0"/>
    <n v="55000"/>
    <n v="60"/>
    <n v="39"/>
    <n v="15498.43"/>
    <n v="11735.429405000001"/>
    <n v="0"/>
    <n v="24.28"/>
    <n v="15.79"/>
    <n v="194596.38"/>
    <n v="150209.46789699999"/>
    <n v="0"/>
    <n v="22.81"/>
    <n v="32"/>
    <n v="20"/>
    <n v="13"/>
    <n v="141"/>
    <n v="8.44"/>
    <n v="35750"/>
    <n v="3.7"/>
    <n v="1"/>
    <n v="15.87"/>
    <n v="1654"/>
    <n v="634000"/>
    <n v="412100"/>
    <n v="194596.38"/>
    <n v="446"/>
    <n v="277"/>
    <n v="685"/>
  </r>
  <r>
    <n v="26"/>
    <x v="4"/>
    <n v="1394"/>
    <s v="WENDERSON"/>
    <x v="5"/>
    <x v="0"/>
    <n v="45000"/>
    <n v="55"/>
    <n v="36"/>
    <n v="20364.84"/>
    <n v="15772.355462"/>
    <n v="0"/>
    <n v="22.55"/>
    <n v="20.78"/>
    <n v="402890.95"/>
    <n v="311837.77215999999"/>
    <n v="0"/>
    <n v="22.6"/>
    <n v="28"/>
    <n v="20"/>
    <n v="13"/>
    <n v="188"/>
    <n v="10.31"/>
    <n v="29250"/>
    <n v="114.32"/>
    <n v="0"/>
    <n v="28.26"/>
    <n v="1654"/>
    <n v="790000"/>
    <n v="513500"/>
    <n v="402890.95"/>
    <n v="380"/>
    <n v="299"/>
    <n v="584"/>
  </r>
  <r>
    <n v="12"/>
    <x v="6"/>
    <n v="1402"/>
    <s v="CARLOS"/>
    <x v="5"/>
    <x v="0"/>
    <n v="50000"/>
    <n v="60"/>
    <n v="39"/>
    <n v="4034.17"/>
    <n v="3016.8068069999999"/>
    <n v="0"/>
    <n v="25.22"/>
    <n v="9.56"/>
    <n v="194596.38"/>
    <n v="150209.46789699999"/>
    <n v="0"/>
    <n v="22.81"/>
    <n v="9"/>
    <n v="20"/>
    <n v="13"/>
    <n v="27"/>
    <n v="2.9"/>
    <n v="32500"/>
    <n v="237.75"/>
    <n v="0"/>
    <n v="15.87"/>
    <n v="1654"/>
    <n v="634000"/>
    <n v="412100"/>
    <n v="194596.38"/>
    <n v="446"/>
    <n v="277"/>
    <n v="685"/>
  </r>
  <r>
    <n v="17"/>
    <x v="8"/>
    <n v="1431"/>
    <s v="MARCIO"/>
    <x v="5"/>
    <x v="0"/>
    <n v="50000"/>
    <n v="30"/>
    <n v="20"/>
    <n v="10111.61"/>
    <n v="7544.9081829999996"/>
    <n v="0"/>
    <n v="25.38"/>
    <n v="25.73"/>
    <n v="172830.32"/>
    <n v="124747.158641"/>
    <n v="0"/>
    <n v="27.82"/>
    <n v="8"/>
    <n v="20"/>
    <n v="13"/>
    <n v="115"/>
    <n v="12.09"/>
    <n v="32500"/>
    <n v="0"/>
    <n v="0"/>
    <n v="22.48"/>
    <n v="1654"/>
    <n v="510000"/>
    <n v="331500"/>
    <n v="172830.32"/>
    <n v="182"/>
    <n v="112"/>
    <n v="280"/>
  </r>
  <r>
    <n v="10"/>
    <x v="1"/>
    <n v="1450"/>
    <s v="INGRID"/>
    <x v="5"/>
    <x v="0"/>
    <n v="80000"/>
    <n v="70"/>
    <n v="46"/>
    <n v="56631.43"/>
    <n v="43065.578894999999"/>
    <n v="0"/>
    <n v="23.95"/>
    <n v="22.87"/>
    <n v="332009.38"/>
    <n v="252895.49786800001"/>
    <n v="0"/>
    <n v="23.83"/>
    <n v="41"/>
    <n v="20"/>
    <n v="13"/>
    <n v="395"/>
    <n v="13.35"/>
    <n v="52000"/>
    <n v="295.2"/>
    <n v="0"/>
    <n v="23.57"/>
    <n v="1654"/>
    <n v="743000"/>
    <n v="482950"/>
    <n v="332009.38"/>
    <n v="351"/>
    <n v="266"/>
    <n v="540"/>
  </r>
  <r>
    <n v="2"/>
    <x v="0"/>
    <n v="1457"/>
    <s v="JOSE"/>
    <x v="5"/>
    <x v="0"/>
    <n v="80000"/>
    <n v="65"/>
    <n v="43"/>
    <n v="39430.46"/>
    <n v="30211.764977999999"/>
    <n v="0"/>
    <n v="23.38"/>
    <n v="27.15"/>
    <n v="488596.11"/>
    <n v="370375.51799899997"/>
    <n v="0"/>
    <n v="24.2"/>
    <n v="23"/>
    <n v="20"/>
    <n v="13"/>
    <n v="248"/>
    <n v="15.61"/>
    <n v="52000"/>
    <n v="2323.5100000000002"/>
    <n v="1"/>
    <n v="23.05"/>
    <n v="1654"/>
    <n v="1000000"/>
    <n v="650000"/>
    <n v="488596.11"/>
    <n v="439"/>
    <n v="312"/>
    <n v="675"/>
  </r>
  <r>
    <n v="6"/>
    <x v="3"/>
    <n v="1466"/>
    <s v="ARTHUR"/>
    <x v="5"/>
    <x v="0"/>
    <n v="105000"/>
    <n v="90"/>
    <n v="59"/>
    <n v="30401.39"/>
    <n v="23936.821864000001"/>
    <n v="0"/>
    <n v="21.26"/>
    <n v="20.92"/>
    <n v="366742.08"/>
    <n v="279745.02127199998"/>
    <n v="0"/>
    <n v="23.72"/>
    <n v="24"/>
    <n v="20"/>
    <n v="13"/>
    <n v="227"/>
    <n v="9.94"/>
    <n v="68250"/>
    <n v="1039.53"/>
    <n v="1"/>
    <n v="18.899999999999999"/>
    <n v="1654"/>
    <n v="842000"/>
    <n v="547300"/>
    <n v="366742.08"/>
    <n v="507"/>
    <n v="357"/>
    <n v="780"/>
  </r>
  <r>
    <n v="4"/>
    <x v="2"/>
    <n v="1473"/>
    <s v="EDER"/>
    <x v="5"/>
    <x v="0"/>
    <n v="104000"/>
    <n v="80"/>
    <n v="52"/>
    <n v="28906.43"/>
    <n v="21576.846552999999"/>
    <n v="0"/>
    <n v="25.36"/>
    <n v="23.19"/>
    <n v="245224.17"/>
    <n v="179460.27632199999"/>
    <n v="0"/>
    <n v="26.82"/>
    <n v="28"/>
    <n v="20"/>
    <n v="13"/>
    <n v="222"/>
    <n v="10.65"/>
    <n v="67600"/>
    <n v="136.9"/>
    <n v="2"/>
    <n v="23.55"/>
    <n v="1654"/>
    <n v="639000"/>
    <n v="415350"/>
    <n v="245224.17"/>
    <n v="275"/>
    <n v="192"/>
    <n v="423"/>
  </r>
  <r>
    <n v="17"/>
    <x v="8"/>
    <n v="1475"/>
    <s v="CARLOS"/>
    <x v="5"/>
    <x v="0"/>
    <n v="95000"/>
    <n v="54"/>
    <n v="36"/>
    <n v="38549.22"/>
    <n v="28139.283536999999"/>
    <n v="0"/>
    <n v="27"/>
    <n v="19.41"/>
    <n v="172830.32"/>
    <n v="124747.158641"/>
    <n v="0"/>
    <n v="27.82"/>
    <n v="22"/>
    <n v="20"/>
    <n v="13"/>
    <n v="164"/>
    <n v="9.3800000000000008"/>
    <n v="61750"/>
    <n v="0"/>
    <n v="2"/>
    <n v="22.48"/>
    <n v="1654"/>
    <n v="510000"/>
    <n v="331500"/>
    <n v="172830.32"/>
    <n v="182"/>
    <n v="112"/>
    <n v="280"/>
  </r>
  <r>
    <n v="10"/>
    <x v="1"/>
    <n v="1486"/>
    <s v="DHIEGO"/>
    <x v="5"/>
    <x v="0"/>
    <n v="43000"/>
    <n v="25"/>
    <n v="17"/>
    <n v="9369.2900000000009"/>
    <n v="7180.9131299999999"/>
    <n v="0"/>
    <n v="23.36"/>
    <n v="11.49"/>
    <n v="332009.38"/>
    <n v="252895.49786800001"/>
    <n v="0"/>
    <n v="23.83"/>
    <n v="12"/>
    <n v="20"/>
    <n v="13"/>
    <n v="122"/>
    <n v="13.62"/>
    <n v="27950"/>
    <n v="350.57"/>
    <n v="4"/>
    <n v="23.57"/>
    <n v="1654"/>
    <n v="743000"/>
    <n v="482950"/>
    <n v="332009.38"/>
    <n v="351"/>
    <n v="266"/>
    <n v="540"/>
  </r>
  <r>
    <n v="17"/>
    <x v="8"/>
    <n v="1497"/>
    <s v="ACSA"/>
    <x v="5"/>
    <x v="0"/>
    <n v="80000"/>
    <n v="36"/>
    <n v="24"/>
    <n v="41154.39"/>
    <n v="29595.626776000001"/>
    <n v="0"/>
    <n v="28.09"/>
    <n v="22.42"/>
    <n v="172830.32"/>
    <n v="124747.158641"/>
    <n v="0"/>
    <n v="27.82"/>
    <n v="21"/>
    <n v="20"/>
    <n v="13"/>
    <n v="318"/>
    <n v="19.079999999999998"/>
    <n v="52000"/>
    <n v="0"/>
    <n v="1"/>
    <n v="22.48"/>
    <n v="1654"/>
    <n v="510000"/>
    <n v="331500"/>
    <n v="172830.32"/>
    <n v="182"/>
    <n v="112"/>
    <n v="280"/>
  </r>
  <r>
    <n v="2"/>
    <x v="0"/>
    <n v="1505"/>
    <s v="BRUNA"/>
    <x v="5"/>
    <x v="0"/>
    <n v="70000"/>
    <n v="50"/>
    <n v="33"/>
    <n v="30547.8"/>
    <n v="22508.093991999998"/>
    <n v="0"/>
    <n v="26.32"/>
    <n v="21.23"/>
    <n v="488596.11"/>
    <n v="370375.51799899997"/>
    <n v="0"/>
    <n v="24.2"/>
    <n v="18"/>
    <n v="20"/>
    <n v="13"/>
    <n v="290"/>
    <n v="16.04"/>
    <n v="45500"/>
    <n v="0"/>
    <n v="0"/>
    <n v="23.05"/>
    <n v="1654"/>
    <n v="1000000"/>
    <n v="650000"/>
    <n v="488596.11"/>
    <n v="439"/>
    <n v="312"/>
    <n v="675"/>
  </r>
  <r>
    <n v="26"/>
    <x v="4"/>
    <n v="1527"/>
    <s v="JOSE"/>
    <x v="5"/>
    <x v="0"/>
    <n v="60000"/>
    <n v="60"/>
    <n v="39"/>
    <n v="42500.63"/>
    <n v="32670.181852999998"/>
    <n v="0"/>
    <n v="23.13"/>
    <n v="40.31"/>
    <n v="402890.95"/>
    <n v="311837.77215999999"/>
    <n v="0"/>
    <n v="22.6"/>
    <n v="24"/>
    <n v="20"/>
    <n v="13"/>
    <n v="215"/>
    <n v="11.33"/>
    <n v="39000"/>
    <n v="2831.86"/>
    <n v="2"/>
    <n v="28.26"/>
    <n v="1654"/>
    <n v="790000"/>
    <n v="513500"/>
    <n v="402890.95"/>
    <n v="380"/>
    <n v="299"/>
    <n v="584"/>
  </r>
  <r>
    <n v="26"/>
    <x v="4"/>
    <n v="1535"/>
    <s v="ALAN"/>
    <x v="5"/>
    <x v="0"/>
    <n v="45000"/>
    <n v="45"/>
    <n v="30"/>
    <n v="15154.66"/>
    <n v="11660.639741999999"/>
    <n v="0"/>
    <n v="23.06"/>
    <n v="19.64"/>
    <n v="402890.95"/>
    <n v="311837.77215999999"/>
    <n v="0"/>
    <n v="22.6"/>
    <n v="35"/>
    <n v="20"/>
    <n v="13"/>
    <n v="147"/>
    <n v="7.27"/>
    <n v="29250"/>
    <n v="0"/>
    <n v="1"/>
    <n v="28.26"/>
    <n v="1654"/>
    <n v="790000"/>
    <n v="513500"/>
    <n v="402890.95"/>
    <n v="380"/>
    <n v="299"/>
    <n v="584"/>
  </r>
  <r>
    <n v="2"/>
    <x v="0"/>
    <n v="1553"/>
    <s v="JORGE"/>
    <x v="5"/>
    <x v="0"/>
    <n v="50000"/>
    <n v="40"/>
    <n v="26"/>
    <n v="9371.73"/>
    <n v="6828.5998579999996"/>
    <n v="0"/>
    <n v="27.14"/>
    <n v="51.55"/>
    <n v="488596.11"/>
    <n v="370375.51799899997"/>
    <n v="0"/>
    <n v="24.2"/>
    <n v="8"/>
    <n v="20"/>
    <n v="13"/>
    <n v="65"/>
    <n v="10.5"/>
    <n v="32500"/>
    <n v="42.78"/>
    <n v="1"/>
    <n v="23.05"/>
    <n v="1654"/>
    <n v="1000000"/>
    <n v="650000"/>
    <n v="488596.11"/>
    <n v="439"/>
    <n v="312"/>
    <n v="675"/>
  </r>
  <r>
    <n v="4"/>
    <x v="2"/>
    <n v="1557"/>
    <s v="ALEXSANDRA"/>
    <x v="5"/>
    <x v="0"/>
    <n v="105000"/>
    <n v="78"/>
    <n v="51"/>
    <n v="31460.66"/>
    <n v="22697.522846"/>
    <n v="0"/>
    <n v="27.85"/>
    <n v="23.09"/>
    <n v="245224.17"/>
    <n v="179460.27632199999"/>
    <n v="0"/>
    <n v="26.82"/>
    <n v="34"/>
    <n v="20"/>
    <n v="13"/>
    <n v="278"/>
    <n v="12.56"/>
    <n v="68250"/>
    <n v="0"/>
    <n v="1"/>
    <n v="23.55"/>
    <n v="1654"/>
    <n v="639000"/>
    <n v="415350"/>
    <n v="245224.17"/>
    <n v="275"/>
    <n v="192"/>
    <n v="423"/>
  </r>
  <r>
    <n v="4"/>
    <x v="2"/>
    <n v="1558"/>
    <s v="JEFFERSON"/>
    <x v="5"/>
    <x v="0"/>
    <n v="80000"/>
    <n v="65"/>
    <n v="43"/>
    <n v="22275.43"/>
    <n v="15614.578453"/>
    <n v="0"/>
    <n v="29.9"/>
    <n v="24.35"/>
    <n v="245224.17"/>
    <n v="179460.27632199999"/>
    <n v="0"/>
    <n v="26.82"/>
    <n v="25"/>
    <n v="20"/>
    <n v="13"/>
    <n v="188"/>
    <n v="10.5"/>
    <n v="52000"/>
    <n v="0"/>
    <n v="0"/>
    <n v="23.55"/>
    <n v="1654"/>
    <n v="639000"/>
    <n v="415350"/>
    <n v="245224.17"/>
    <n v="275"/>
    <n v="192"/>
    <n v="423"/>
  </r>
  <r>
    <n v="26"/>
    <x v="4"/>
    <n v="1565"/>
    <s v="FRANCIELE"/>
    <x v="5"/>
    <x v="0"/>
    <n v="40000"/>
    <n v="1"/>
    <n v="1"/>
    <n v="12128.54"/>
    <n v="9530.8553769999999"/>
    <n v="0"/>
    <n v="21.42"/>
    <n v="45.21"/>
    <n v="402890.95"/>
    <n v="311837.77215999999"/>
    <n v="0"/>
    <n v="22.6"/>
    <n v="2"/>
    <n v="20"/>
    <n v="13"/>
    <n v="44"/>
    <n v="9.6"/>
    <n v="26000"/>
    <n v="115.08"/>
    <n v="0"/>
    <n v="28.26"/>
    <n v="1654"/>
    <n v="790000"/>
    <n v="513500"/>
    <n v="402890.95"/>
    <n v="380"/>
    <n v="299"/>
    <n v="584"/>
  </r>
  <r>
    <n v="12"/>
    <x v="6"/>
    <n v="1582"/>
    <s v="KEYLLA"/>
    <x v="5"/>
    <x v="0"/>
    <n v="46000"/>
    <n v="60"/>
    <n v="39"/>
    <n v="27203.82"/>
    <n v="20729.475992"/>
    <n v="0"/>
    <n v="23.8"/>
    <n v="19"/>
    <n v="194596.38"/>
    <n v="150209.46789699999"/>
    <n v="0"/>
    <n v="22.81"/>
    <n v="39"/>
    <n v="20"/>
    <n v="13"/>
    <n v="158"/>
    <n v="9.09"/>
    <n v="29900"/>
    <n v="862.32"/>
    <n v="1"/>
    <n v="15.87"/>
    <n v="1654"/>
    <n v="634000"/>
    <n v="412100"/>
    <n v="194596.38"/>
    <n v="446"/>
    <n v="277"/>
    <n v="685"/>
  </r>
  <r>
    <n v="6"/>
    <x v="3"/>
    <n v="1585"/>
    <s v="FABIO"/>
    <x v="5"/>
    <x v="0"/>
    <n v="40000"/>
    <n v="45"/>
    <n v="30"/>
    <n v="13565.53"/>
    <n v="10103.782372"/>
    <n v="0"/>
    <n v="25.52"/>
    <n v="17.95"/>
    <n v="366742.08"/>
    <n v="279745.02127199998"/>
    <n v="0"/>
    <n v="23.72"/>
    <n v="16"/>
    <n v="20"/>
    <n v="13"/>
    <n v="119"/>
    <n v="10.5"/>
    <n v="26000"/>
    <n v="0"/>
    <n v="0"/>
    <n v="18.899999999999999"/>
    <n v="1654"/>
    <n v="842000"/>
    <n v="547300"/>
    <n v="366742.08"/>
    <n v="507"/>
    <n v="357"/>
    <n v="780"/>
  </r>
  <r>
    <n v="10"/>
    <x v="1"/>
    <n v="1589"/>
    <s v="VITOR"/>
    <x v="5"/>
    <x v="0"/>
    <n v="75000"/>
    <n v="55"/>
    <n v="36"/>
    <n v="24595.38"/>
    <n v="18414.951212"/>
    <n v="0"/>
    <n v="25.13"/>
    <n v="26.05"/>
    <n v="332009.38"/>
    <n v="252895.49786800001"/>
    <n v="0"/>
    <n v="23.83"/>
    <n v="23"/>
    <n v="20"/>
    <n v="13"/>
    <n v="179"/>
    <n v="8.7899999999999991"/>
    <n v="48750"/>
    <n v="182.54"/>
    <n v="0"/>
    <n v="23.57"/>
    <n v="1654"/>
    <n v="743000"/>
    <n v="482950"/>
    <n v="332009.38"/>
    <n v="351"/>
    <n v="266"/>
    <n v="540"/>
  </r>
  <r>
    <n v="10"/>
    <x v="1"/>
    <n v="1591"/>
    <s v="ELRIK"/>
    <x v="5"/>
    <x v="0"/>
    <n v="65000"/>
    <n v="50"/>
    <n v="33"/>
    <n v="32671.09"/>
    <n v="24541.658640000001"/>
    <n v="0"/>
    <n v="24.88"/>
    <n v="21.5"/>
    <n v="332009.38"/>
    <n v="252895.49786800001"/>
    <n v="0"/>
    <n v="23.83"/>
    <n v="36"/>
    <n v="20"/>
    <n v="13"/>
    <n v="298"/>
    <n v="11.88"/>
    <n v="42250"/>
    <n v="0"/>
    <n v="0"/>
    <n v="23.57"/>
    <n v="1654"/>
    <n v="743000"/>
    <n v="482950"/>
    <n v="332009.38"/>
    <n v="351"/>
    <n v="266"/>
    <n v="540"/>
  </r>
  <r>
    <n v="5"/>
    <x v="5"/>
    <n v="1593"/>
    <s v="DAIZA"/>
    <x v="5"/>
    <x v="0"/>
    <n v="115000"/>
    <n v="50"/>
    <n v="33"/>
    <n v="76143.820000000007"/>
    <n v="60872.535393999999"/>
    <n v="0"/>
    <n v="20.059999999999999"/>
    <n v="33.39"/>
    <n v="153597.82999999999"/>
    <n v="121903.883544"/>
    <n v="0"/>
    <n v="20.63"/>
    <n v="44"/>
    <n v="20"/>
    <n v="13"/>
    <n v="308"/>
    <n v="9.57"/>
    <n v="74750"/>
    <n v="70.319999999999993"/>
    <n v="1"/>
    <n v="35.04"/>
    <n v="1654"/>
    <n v="332000"/>
    <n v="215800"/>
    <n v="153597.82999999999"/>
    <n v="65"/>
    <n v="79"/>
    <n v="100"/>
  </r>
  <r>
    <n v="12"/>
    <x v="6"/>
    <n v="1594"/>
    <s v="EDILENE"/>
    <x v="5"/>
    <x v="0"/>
    <n v="46000"/>
    <n v="60"/>
    <n v="39"/>
    <n v="17943.71"/>
    <n v="13663.045762"/>
    <n v="0"/>
    <n v="23.86"/>
    <n v="18.809999999999999"/>
    <n v="194596.38"/>
    <n v="150209.46789699999"/>
    <n v="0"/>
    <n v="22.81"/>
    <n v="26"/>
    <n v="20"/>
    <n v="13"/>
    <n v="146"/>
    <n v="9.77"/>
    <n v="29900"/>
    <n v="493.32"/>
    <n v="0"/>
    <n v="15.87"/>
    <n v="1654"/>
    <n v="634000"/>
    <n v="412100"/>
    <n v="194596.38"/>
    <n v="446"/>
    <n v="277"/>
    <n v="685"/>
  </r>
  <r>
    <n v="6"/>
    <x v="3"/>
    <n v="1602"/>
    <s v="ERIC"/>
    <x v="5"/>
    <x v="0"/>
    <n v="90000"/>
    <n v="80"/>
    <n v="52"/>
    <n v="10399.35"/>
    <n v="7728.0461910000004"/>
    <n v="0"/>
    <n v="25.69"/>
    <n v="21.94"/>
    <n v="366742.08"/>
    <n v="279745.02127199998"/>
    <n v="0"/>
    <n v="23.72"/>
    <n v="13"/>
    <n v="20"/>
    <n v="13"/>
    <n v="95"/>
    <n v="10"/>
    <n v="58500"/>
    <n v="0"/>
    <n v="1"/>
    <n v="18.899999999999999"/>
    <n v="1654"/>
    <n v="842000"/>
    <n v="547300"/>
    <n v="366742.08"/>
    <n v="507"/>
    <n v="357"/>
    <n v="780"/>
  </r>
  <r>
    <n v="10"/>
    <x v="1"/>
    <n v="1605"/>
    <s v="SARA"/>
    <x v="5"/>
    <x v="0"/>
    <n v="100000"/>
    <n v="60"/>
    <n v="39"/>
    <n v="68607.95"/>
    <n v="54017.962108"/>
    <n v="0"/>
    <n v="21.27"/>
    <n v="34.75"/>
    <n v="332009.38"/>
    <n v="252895.49786800001"/>
    <n v="0"/>
    <n v="23.83"/>
    <n v="36"/>
    <n v="20"/>
    <n v="13"/>
    <n v="177"/>
    <n v="9.26"/>
    <n v="65000"/>
    <n v="1578.57"/>
    <n v="0"/>
    <n v="23.57"/>
    <n v="1654"/>
    <n v="743000"/>
    <n v="482950"/>
    <n v="332009.38"/>
    <n v="351"/>
    <n v="266"/>
    <n v="540"/>
  </r>
  <r>
    <n v="17"/>
    <x v="8"/>
    <n v="1608"/>
    <s v="DEUZIANI"/>
    <x v="5"/>
    <x v="0"/>
    <n v="95000"/>
    <n v="54"/>
    <n v="36"/>
    <n v="18379.669999999998"/>
    <n v="13573.647975"/>
    <n v="0"/>
    <n v="26.15"/>
    <n v="24.51"/>
    <n v="172830.32"/>
    <n v="124747.158641"/>
    <n v="0"/>
    <n v="27.82"/>
    <n v="15"/>
    <n v="20"/>
    <n v="13"/>
    <n v="94"/>
    <n v="8.41"/>
    <n v="61750"/>
    <n v="0"/>
    <n v="1"/>
    <n v="22.48"/>
    <n v="1654"/>
    <n v="510000"/>
    <n v="331500"/>
    <n v="172830.32"/>
    <n v="182"/>
    <n v="112"/>
    <n v="280"/>
  </r>
  <r>
    <n v="12"/>
    <x v="6"/>
    <n v="1609"/>
    <s v="DENYSON"/>
    <x v="5"/>
    <x v="0"/>
    <n v="55000"/>
    <n v="60"/>
    <n v="39"/>
    <n v="20418.89"/>
    <n v="15785.889291"/>
    <n v="0"/>
    <n v="22.69"/>
    <n v="10.68"/>
    <n v="194596.38"/>
    <n v="150209.46789699999"/>
    <n v="0"/>
    <n v="22.81"/>
    <n v="33"/>
    <n v="20"/>
    <n v="13"/>
    <n v="179"/>
    <n v="8.33"/>
    <n v="35750"/>
    <n v="2543.04"/>
    <n v="0"/>
    <n v="15.87"/>
    <n v="1654"/>
    <n v="634000"/>
    <n v="412100"/>
    <n v="194596.38"/>
    <n v="446"/>
    <n v="277"/>
    <n v="685"/>
  </r>
  <r>
    <n v="12"/>
    <x v="6"/>
    <n v="1610"/>
    <s v="CLAUDINEY"/>
    <x v="5"/>
    <x v="0"/>
    <n v="0"/>
    <n v="0"/>
    <n v="0"/>
    <n v="2208.88"/>
    <n v="1698.260194"/>
    <n v="0"/>
    <n v="23.12"/>
    <n v="21"/>
    <n v="194596.38"/>
    <n v="150209.46789699999"/>
    <n v="0"/>
    <n v="22.81"/>
    <n v="3"/>
    <n v="20"/>
    <n v="13"/>
    <n v="12"/>
    <n v="3.75"/>
    <n v="0"/>
    <n v="0"/>
    <n v="0"/>
    <n v="15.87"/>
    <n v="1654"/>
    <n v="634000"/>
    <n v="412100"/>
    <n v="194596.38"/>
    <n v="446"/>
    <n v="277"/>
    <n v="685"/>
  </r>
  <r>
    <n v="10"/>
    <x v="1"/>
    <n v="1611"/>
    <s v="JUAM"/>
    <x v="5"/>
    <x v="0"/>
    <n v="90000"/>
    <n v="60"/>
    <n v="39"/>
    <n v="31735.01"/>
    <n v="24016.350480000001"/>
    <n v="0"/>
    <n v="24.32"/>
    <n v="23.67"/>
    <n v="332009.38"/>
    <n v="252895.49786800001"/>
    <n v="0"/>
    <n v="23.83"/>
    <n v="23"/>
    <n v="20"/>
    <n v="13"/>
    <n v="141"/>
    <n v="7.03"/>
    <n v="58500"/>
    <n v="26.35"/>
    <n v="0"/>
    <n v="23.57"/>
    <n v="1654"/>
    <n v="743000"/>
    <n v="482950"/>
    <n v="332009.38"/>
    <n v="351"/>
    <n v="266"/>
    <n v="540"/>
  </r>
  <r>
    <n v="2"/>
    <x v="0"/>
    <n v="1612"/>
    <s v="CLEISON"/>
    <x v="5"/>
    <x v="0"/>
    <n v="85000"/>
    <n v="65"/>
    <n v="43"/>
    <n v="24601.5"/>
    <n v="18573.652161000002"/>
    <n v="0"/>
    <n v="24.5"/>
    <n v="19.46"/>
    <n v="488596.11"/>
    <n v="370375.51799899997"/>
    <n v="0"/>
    <n v="24.2"/>
    <n v="21"/>
    <n v="20"/>
    <n v="13"/>
    <n v="284"/>
    <n v="18.04"/>
    <n v="55250"/>
    <n v="1412.74"/>
    <n v="0"/>
    <n v="23.05"/>
    <n v="1654"/>
    <n v="1000000"/>
    <n v="650000"/>
    <n v="488596.11"/>
    <n v="439"/>
    <n v="312"/>
    <n v="675"/>
  </r>
  <r>
    <n v="17"/>
    <x v="8"/>
    <n v="1613"/>
    <s v="JOSE"/>
    <x v="5"/>
    <x v="0"/>
    <n v="50000"/>
    <n v="50"/>
    <n v="33"/>
    <n v="29568.98"/>
    <n v="21127.237496000002"/>
    <n v="0"/>
    <n v="28.55"/>
    <n v="23.05"/>
    <n v="172830.32"/>
    <n v="124747.158641"/>
    <n v="0"/>
    <n v="27.82"/>
    <n v="24"/>
    <n v="20"/>
    <n v="13"/>
    <n v="179"/>
    <n v="8.7799999999999994"/>
    <n v="32500"/>
    <n v="0"/>
    <n v="1"/>
    <n v="22.48"/>
    <n v="1654"/>
    <n v="510000"/>
    <n v="331500"/>
    <n v="172830.32"/>
    <n v="182"/>
    <n v="112"/>
    <n v="280"/>
  </r>
  <r>
    <n v="4"/>
    <x v="2"/>
    <n v="1616"/>
    <s v="LEANDRO"/>
    <x v="5"/>
    <x v="0"/>
    <n v="50000"/>
    <n v="40"/>
    <n v="26"/>
    <n v="24452.11"/>
    <n v="17823.357456999998"/>
    <n v="0"/>
    <n v="27.11"/>
    <n v="21.47"/>
    <n v="245224.17"/>
    <n v="179460.27632199999"/>
    <n v="0"/>
    <n v="26.82"/>
    <n v="30"/>
    <n v="20"/>
    <n v="13"/>
    <n v="309"/>
    <n v="13.58"/>
    <n v="32500"/>
    <n v="82.92"/>
    <n v="1"/>
    <n v="23.55"/>
    <n v="1654"/>
    <n v="639000"/>
    <n v="415350"/>
    <n v="245224.17"/>
    <n v="275"/>
    <n v="192"/>
    <n v="423"/>
  </r>
  <r>
    <n v="6"/>
    <x v="3"/>
    <n v="1617"/>
    <s v="JERFENSON"/>
    <x v="5"/>
    <x v="0"/>
    <n v="69000"/>
    <n v="62"/>
    <n v="41"/>
    <n v="31879.97"/>
    <n v="23606.726944999999"/>
    <n v="0"/>
    <n v="25.95"/>
    <n v="21.72"/>
    <n v="366742.08"/>
    <n v="279745.02127199998"/>
    <n v="0"/>
    <n v="23.72"/>
    <n v="37"/>
    <n v="20"/>
    <n v="13"/>
    <n v="285"/>
    <n v="12.42"/>
    <n v="44850"/>
    <n v="0"/>
    <n v="7"/>
    <n v="18.899999999999999"/>
    <n v="1654"/>
    <n v="842000"/>
    <n v="547300"/>
    <n v="366742.08"/>
    <n v="507"/>
    <n v="357"/>
    <n v="780"/>
  </r>
  <r>
    <n v="4"/>
    <x v="2"/>
    <n v="1618"/>
    <s v="AILA"/>
    <x v="5"/>
    <x v="0"/>
    <n v="45000"/>
    <n v="1"/>
    <n v="1"/>
    <n v="23415.34"/>
    <n v="17207.563098999999"/>
    <n v="0"/>
    <n v="26.51"/>
    <n v="27.43"/>
    <n v="245224.17"/>
    <n v="179460.27632199999"/>
    <n v="0"/>
    <n v="26.82"/>
    <n v="1"/>
    <n v="20"/>
    <n v="13"/>
    <n v="49"/>
    <n v="25"/>
    <n v="29250"/>
    <n v="0"/>
    <n v="0"/>
    <n v="23.55"/>
    <n v="1654"/>
    <n v="639000"/>
    <n v="415350"/>
    <n v="245224.17"/>
    <n v="275"/>
    <n v="192"/>
    <n v="423"/>
  </r>
  <r>
    <n v="12"/>
    <x v="6"/>
    <n v="1619"/>
    <s v="CARMEM"/>
    <x v="5"/>
    <x v="0"/>
    <n v="70000"/>
    <n v="65"/>
    <n v="43"/>
    <n v="13919.71"/>
    <n v="10754.972997000001"/>
    <n v="0"/>
    <n v="22.74"/>
    <n v="5.05"/>
    <n v="194596.38"/>
    <n v="150209.46789699999"/>
    <n v="0"/>
    <n v="22.81"/>
    <n v="19"/>
    <n v="20"/>
    <n v="13"/>
    <n v="130"/>
    <n v="8.27"/>
    <n v="45500"/>
    <n v="0"/>
    <n v="1"/>
    <n v="15.87"/>
    <n v="1654"/>
    <n v="634000"/>
    <n v="412100"/>
    <n v="194596.38"/>
    <n v="446"/>
    <n v="277"/>
    <n v="685"/>
  </r>
  <r>
    <m/>
    <x v="10"/>
    <m/>
    <m/>
    <x v="6"/>
    <x v="1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27F981-3B39-4E08-8FE9-842A22B566E1}" name="Tabela dinâ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3:K11" firstHeaderRow="0" firstDataRow="1" firstDataCol="1"/>
  <pivotFields count="34">
    <pivotField showAll="0"/>
    <pivotField axis="axisRow" showAll="0" sortType="descending">
      <items count="18">
        <item m="1" x="14"/>
        <item x="2"/>
        <item m="1" x="15"/>
        <item x="6"/>
        <item x="8"/>
        <item x="4"/>
        <item x="0"/>
        <item m="1" x="13"/>
        <item m="1" x="12"/>
        <item m="1" x="16"/>
        <item x="7"/>
        <item x="9"/>
        <item x="10"/>
        <item x="3"/>
        <item m="1" x="11"/>
        <item x="5"/>
        <item x="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>
      <items count="8">
        <item h="1" x="0"/>
        <item h="1" x="1"/>
        <item h="1" x="2"/>
        <item h="1" x="3"/>
        <item h="1" x="4"/>
        <item x="5"/>
        <item h="1" x="6"/>
        <item t="default"/>
      </items>
    </pivotField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dataField="1" showAll="0"/>
    <pivotField dataField="1" showAll="0"/>
  </pivotFields>
  <rowFields count="1">
    <field x="1"/>
  </rowFields>
  <rowItems count="8">
    <i>
      <x v="6"/>
    </i>
    <i>
      <x v="5"/>
    </i>
    <i>
      <x v="13"/>
    </i>
    <i>
      <x v="16"/>
    </i>
    <i>
      <x v="1"/>
    </i>
    <i>
      <x v="3"/>
    </i>
    <i>
      <x v="4"/>
    </i>
    <i>
      <x v="15"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Média de META_VENDA_SUPERVISOR" fld="28" subtotal="average" baseField="1" baseItem="6" numFmtId="44"/>
    <dataField name="Média de VENDA_REAL_SUPERVISOR" fld="30" subtotal="average" baseField="1" baseItem="6" numFmtId="44"/>
    <dataField name="Média de META_POSITIVACAO_GERAL_SUPERVISOR" fld="33" subtotal="average" baseField="1" baseItem="6" numFmtId="1"/>
    <dataField name="Média de POSITIVACAO_SUPERVISOR" fld="32" subtotal="average" baseField="1" baseItem="6" numFmtId="1"/>
    <dataField name="Média de MIX" fld="21" subtotal="average" baseField="1" baseItem="0" numFmtId="3"/>
    <dataField name="Soma de MEDIA_ITENS_POR_PEDIDO" fld="22" baseField="0" baseItem="0" numFmtId="3"/>
    <dataField name="Média de MARGEM_SUPERVISOR" fld="17" subtotal="average" baseField="1" baseItem="3" numFmtId="2"/>
    <dataField name="Média de PRAZO_MEDIO_SUPERVISOR" fld="26" subtotal="average" baseField="1" baseItem="0" numFmtId="1"/>
    <dataField name="Soma de CLS_CADASTRADOS" fld="25" baseField="0" baseItem="0"/>
    <dataField name="Média de QTD_CLIENTES_POSITIVADOS_GERAL" fld="27" subtotal="average" baseField="1" baseItem="1"/>
  </dataFields>
  <formats count="7">
    <format dxfId="238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36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235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21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" xr10:uid="{66BD2A4C-F926-44A2-B428-7D48C7D8E27D}" sourceName="MES">
  <pivotTables>
    <pivotTable tabId="3" name="Tabela dinâmica1"/>
  </pivotTables>
  <data>
    <tabular pivotCacheId="1880993013">
      <items count="7">
        <i x="0"/>
        <i x="1"/>
        <i x="2"/>
        <i x="3"/>
        <i x="4"/>
        <i x="5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DA4DFC46-1168-4F4A-BDC6-AE30DE7CE726}" sourceName="ANO">
  <pivotTables>
    <pivotTable tabId="3" name="Tabela dinâmica1"/>
  </pivotTables>
  <data>
    <tabular pivotCacheId="1880993013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OME_SV" xr10:uid="{382366DE-E5E3-4400-B550-803CDFE6C025}" sourceName="NOME_SV">
  <pivotTables>
    <pivotTable tabId="3" name="Tabela dinâmica1"/>
  </pivotTables>
  <data>
    <tabular pivotCacheId="1880993013">
      <items count="17">
        <i x="2" s="1"/>
        <i x="1" s="1"/>
        <i x="6" s="1"/>
        <i x="3" s="1"/>
        <i x="8" s="1"/>
        <i x="4" s="1"/>
        <i x="0" s="1"/>
        <i x="5" s="1"/>
        <i x="7" s="1" nd="1"/>
        <i x="14" s="1" nd="1"/>
        <i x="16" s="1" nd="1"/>
        <i x="9" s="1" nd="1"/>
        <i x="11" s="1" nd="1"/>
        <i x="15" s="1" nd="1"/>
        <i x="12" s="1" nd="1"/>
        <i x="13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BF27F8E0-18DD-49B7-B1CE-51B1189319E1}" cache="SegmentaçãodeDados_MES" caption="MES" columnCount="3" style="SlicerStyleDark1" rowHeight="241300"/>
  <slicer name="ANO" xr10:uid="{0CD7DA0B-F514-40D6-A9D6-261C8C780521}" cache="SegmentaçãodeDados_ANO" caption="ANO" columnCount="3" style="SlicerStyleDark1" rowHeight="241300"/>
  <slicer name="NOME_SV" xr10:uid="{13BBCF8B-C6C7-42F2-BF84-ADBF41264E39}" cache="SegmentaçãodeDados_NOME_SV" caption="NOME_SV" columnCount="3" style="SlicerStyleDark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965013-6CB8-4A55-B4E4-99F7099DCBF3}" name="Tabela1" displayName="Tabela1" ref="A1:AH558" totalsRowShown="0" headerRowDxfId="277" dataDxfId="275" headerRowBorderDxfId="276" tableBorderDxfId="274" totalsRowBorderDxfId="273">
  <autoFilter ref="A1:AH558" xr:uid="{D1965013-6CB8-4A55-B4E4-99F7099DCBF3}">
    <filterColumn colId="1">
      <filters>
        <filter val="THIAGO LEAL"/>
      </filters>
    </filterColumn>
    <filterColumn colId="4">
      <filters>
        <filter val="05"/>
      </filters>
    </filterColumn>
  </autoFilter>
  <tableColumns count="34">
    <tableColumn id="1" xr3:uid="{11ECCF43-D0F7-40C1-8F9C-383D6B699D04}" name="COD_SV" dataDxfId="272"/>
    <tableColumn id="2" xr3:uid="{3CC8CBB8-7D0E-48BB-BBC4-2CBBEB967C9E}" name="NOME_SV" dataDxfId="271"/>
    <tableColumn id="3" xr3:uid="{ADD84658-2B8E-448C-8EE5-73CF0090399A}" name="COD_RCA" dataDxfId="270"/>
    <tableColumn id="4" xr3:uid="{E955CC13-F676-4E9F-BD5E-C92478E7C5FE}" name="NOME_RCA" dataDxfId="269"/>
    <tableColumn id="5" xr3:uid="{EE23B7BC-7244-42F4-B980-355EA742438D}" name="MES" dataDxfId="268"/>
    <tableColumn id="6" xr3:uid="{F38319C2-404D-4D8E-977C-30A89D7E4A2C}" name="ANO" dataDxfId="267"/>
    <tableColumn id="7" xr3:uid="{5EAE2532-AB5E-4370-B984-413C67064F1D}" name="META_VENDA" dataDxfId="266"/>
    <tableColumn id="8" xr3:uid="{49C4EA04-DF1C-4F96-9E51-879C015B03CC}" name="META_POSITIVACAO" dataDxfId="265"/>
    <tableColumn id="9" xr3:uid="{C921C1AF-F029-4A7F-A4FA-33809065DC81}" name="META_POSITIVAÇÃO_ATUALIZADA" dataDxfId="264"/>
    <tableColumn id="10" xr3:uid="{D48433D1-3D34-4730-BD66-605F7B4BBC40}" name="VENDA_REAL" dataDxfId="263"/>
    <tableColumn id="11" xr3:uid="{780BDB84-9FE2-4316-9F4B-548C7313966F}" name="CMV" dataDxfId="262"/>
    <tableColumn id="12" xr3:uid="{6AF09EEB-0B2D-4512-81AF-139B861770B5}" name="CUSTO_BONIFIC" dataDxfId="261"/>
    <tableColumn id="13" xr3:uid="{6D58C2BA-87C0-462A-BE4F-A25770859595}" name="MARGEM_RCA" dataDxfId="260"/>
    <tableColumn id="14" xr3:uid="{4D5A08F4-7BA2-4E8D-AF52-7259AE93887A}" name="PRAZO_MEDIO" dataDxfId="259"/>
    <tableColumn id="15" xr3:uid="{3A90F82A-5CCF-4534-9A63-BBC703573FD6}" name="VENDA_REAL_SUPERV" dataDxfId="258"/>
    <tableColumn id="16" xr3:uid="{1B006A7F-D782-4F7F-B527-84A7D0BFB3F9}" name="CMV_SUPERV" dataDxfId="257"/>
    <tableColumn id="17" xr3:uid="{3898486E-68E8-4E38-AC8B-F95D98B0675B}" name="CUSTO_BONIFIC_SUPERV" dataDxfId="256"/>
    <tableColumn id="18" xr3:uid="{69F035F3-38DE-40A4-B6D8-BC153EC05AC7}" name="MARGEM_SUPERVISOR" dataDxfId="255"/>
    <tableColumn id="19" xr3:uid="{851FD3FC-B653-4549-A9AD-12FF120140D2}" name="QTD_CLIENTES_POSITIVADOS" dataDxfId="254"/>
    <tableColumn id="20" xr3:uid="{DBC24AED-A4BD-4A2C-B098-BF4D8AA360D2}" name="DIAS_UTEIS_MES" dataDxfId="253"/>
    <tableColumn id="21" xr3:uid="{E4954969-2E8A-4D7C-9C94-FB5FB15FD2F0}" name="DIAS_UTEIS_PASSADOS" dataDxfId="252"/>
    <tableColumn id="22" xr3:uid="{6FD55633-F41D-4460-9D96-A3D50091C2FC}" name="MIX" dataDxfId="251"/>
    <tableColumn id="23" xr3:uid="{370F483C-EA5B-4953-9FC9-94222FF81234}" name="MEDIA_ITENS_POR_PEDIDO" dataDxfId="250"/>
    <tableColumn id="24" xr3:uid="{D7693844-4CFA-4FD3-86C5-E9E063A461CC}" name="META_ATUALIZADA" dataDxfId="249"/>
    <tableColumn id="25" xr3:uid="{881CCCA9-270B-4FF0-9E3F-602E8585B653}" name="VLDEVOLUCAO" dataDxfId="248"/>
    <tableColumn id="26" xr3:uid="{9AA1B426-B47B-4F16-951D-BB76304F1408}" name="CLS_CADASTRADOS" dataDxfId="247"/>
    <tableColumn id="27" xr3:uid="{C0E79284-396C-457E-BEC4-E5B5151C640E}" name="PRAZO_MEDIO_SUPERVISOR" dataDxfId="246"/>
    <tableColumn id="28" xr3:uid="{38EDB128-B31A-4413-B5D1-E5B819B8EC26}" name="QTD_CLIENTES_POSITIVADOS_GERAL" dataDxfId="245"/>
    <tableColumn id="29" xr3:uid="{3F7AC714-A033-4CA2-8C22-CE8CA75BF5EB}" name="META_VENDA_SUPERVISOR" dataDxfId="244"/>
    <tableColumn id="30" xr3:uid="{6CF4829F-1ECB-43B1-8DE5-615AC54CB089}" name="META_ATUALIZADA_SUPERVISOR" dataDxfId="243"/>
    <tableColumn id="31" xr3:uid="{0CCD0201-D394-4920-9C78-08EA1E28A80B}" name="VENDA_REAL_SUPERVISOR" dataDxfId="242"/>
    <tableColumn id="32" xr3:uid="{48AB45CE-66F2-49CA-AAAC-BE28029240AE}" name="META_POSITIVACAO_ATUALIZADA_SUPERVISOR" dataDxfId="241"/>
    <tableColumn id="33" xr3:uid="{79D0AE19-47BB-4E15-BF05-643EF1C2C462}" name="POSITIVACAO_SUPERVISOR" dataDxfId="240"/>
    <tableColumn id="34" xr3:uid="{BFFF9FA7-C761-492D-9A2A-736F41BF75C5}" name="META_POSITIVACAO_GERAL_SUPERVISOR" dataDxfId="23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7D1BA-F1BC-4416-9780-D154A1A82B67}">
  <sheetPr codeName="Planilha1"/>
  <dimension ref="A1:AH558"/>
  <sheetViews>
    <sheetView workbookViewId="0">
      <selection activeCell="F566" sqref="F566"/>
    </sheetView>
  </sheetViews>
  <sheetFormatPr defaultRowHeight="15" x14ac:dyDescent="0.25"/>
  <cols>
    <col min="2" max="2" width="9.85546875" customWidth="1"/>
    <col min="3" max="3" width="10.140625" customWidth="1"/>
    <col min="4" max="4" width="11.140625" customWidth="1"/>
    <col min="7" max="7" width="12.5703125" customWidth="1"/>
    <col min="8" max="8" width="17.7109375" customWidth="1"/>
    <col min="9" max="9" width="12.28515625" customWidth="1"/>
    <col min="11" max="11" width="14.85546875" customWidth="1"/>
    <col min="12" max="12" width="13.140625" customWidth="1"/>
    <col min="13" max="13" width="13.5703125" customWidth="1"/>
    <col min="14" max="14" width="18.5703125" customWidth="1"/>
    <col min="15" max="15" width="12.42578125" customWidth="1"/>
    <col min="16" max="16" width="21.140625" customWidth="1"/>
    <col min="17" max="17" width="19.140625" customWidth="1"/>
    <col min="18" max="18" width="24.28515625" customWidth="1"/>
    <col min="19" max="19" width="11.140625" customWidth="1"/>
    <col min="20" max="20" width="16" customWidth="1"/>
    <col min="21" max="21" width="17.5703125" customWidth="1"/>
    <col min="22" max="22" width="15.28515625" customWidth="1"/>
    <col min="23" max="23" width="20" customWidth="1"/>
    <col min="25" max="25" width="14.140625" customWidth="1"/>
    <col min="26" max="26" width="11.140625" customWidth="1"/>
    <col min="27" max="27" width="22.85546875" customWidth="1"/>
    <col min="28" max="28" width="16.85546875" customWidth="1"/>
    <col min="29" max="29" width="14.42578125" customWidth="1"/>
    <col min="30" max="30" width="13.42578125" customWidth="1"/>
    <col min="31" max="31" width="17.28515625" customWidth="1"/>
    <col min="32" max="32" width="23.42578125" customWidth="1"/>
    <col min="33" max="33" width="16.85546875" customWidth="1"/>
    <col min="34" max="34" width="29.7109375" customWidth="1"/>
  </cols>
  <sheetData>
    <row r="1" spans="1:34" ht="31.5" x14ac:dyDescent="0.25">
      <c r="A1" s="15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32</v>
      </c>
      <c r="H1" s="10" t="s">
        <v>33</v>
      </c>
      <c r="I1" s="10" t="s">
        <v>161</v>
      </c>
      <c r="J1" s="10" t="s">
        <v>27</v>
      </c>
      <c r="K1" s="10" t="s">
        <v>28</v>
      </c>
      <c r="L1" s="10" t="s">
        <v>29</v>
      </c>
      <c r="M1" s="10" t="s">
        <v>151</v>
      </c>
      <c r="N1" s="10" t="s">
        <v>24</v>
      </c>
      <c r="O1" s="10" t="s">
        <v>34</v>
      </c>
      <c r="P1" s="10" t="s">
        <v>35</v>
      </c>
      <c r="Q1" s="10" t="s">
        <v>36</v>
      </c>
      <c r="R1" s="10" t="s">
        <v>37</v>
      </c>
      <c r="S1" s="10" t="s">
        <v>38</v>
      </c>
      <c r="T1" s="10" t="s">
        <v>39</v>
      </c>
      <c r="U1" s="10" t="s">
        <v>40</v>
      </c>
      <c r="V1" s="10" t="s">
        <v>6</v>
      </c>
      <c r="W1" s="10" t="s">
        <v>7</v>
      </c>
      <c r="X1" s="10" t="s">
        <v>8</v>
      </c>
      <c r="Y1" s="10" t="s">
        <v>9</v>
      </c>
      <c r="Z1" s="10" t="s">
        <v>173</v>
      </c>
      <c r="AA1" s="10" t="s">
        <v>137</v>
      </c>
      <c r="AB1" s="10" t="s">
        <v>155</v>
      </c>
      <c r="AC1" s="10" t="s">
        <v>162</v>
      </c>
      <c r="AD1" s="10" t="s">
        <v>163</v>
      </c>
      <c r="AE1" s="10" t="s">
        <v>164</v>
      </c>
      <c r="AF1" s="10" t="s">
        <v>165</v>
      </c>
      <c r="AG1" s="10" t="s">
        <v>166</v>
      </c>
      <c r="AH1" s="16" t="s">
        <v>167</v>
      </c>
    </row>
    <row r="2" spans="1:34" hidden="1" x14ac:dyDescent="0.25">
      <c r="A2" s="11">
        <v>2</v>
      </c>
      <c r="B2" s="8" t="s">
        <v>10</v>
      </c>
      <c r="C2" s="7">
        <v>28</v>
      </c>
      <c r="D2" s="8" t="s">
        <v>98</v>
      </c>
      <c r="E2" s="8" t="s">
        <v>11</v>
      </c>
      <c r="F2" s="8" t="s">
        <v>12</v>
      </c>
      <c r="G2" s="7">
        <v>0</v>
      </c>
      <c r="H2" s="7">
        <v>0</v>
      </c>
      <c r="I2" s="7">
        <v>0</v>
      </c>
      <c r="J2" s="7">
        <v>826.53</v>
      </c>
      <c r="K2" s="7">
        <v>3378.9830619999998</v>
      </c>
      <c r="L2" s="7">
        <v>0</v>
      </c>
      <c r="M2" s="7">
        <v>-308.82</v>
      </c>
      <c r="N2" s="7">
        <v>6.58</v>
      </c>
      <c r="O2" s="7">
        <v>985449.1</v>
      </c>
      <c r="P2" s="7">
        <v>729210.20780199999</v>
      </c>
      <c r="Q2" s="7">
        <v>0</v>
      </c>
      <c r="R2" s="7">
        <v>26</v>
      </c>
      <c r="S2" s="7">
        <v>1</v>
      </c>
      <c r="T2" s="7">
        <v>22</v>
      </c>
      <c r="U2" s="7">
        <v>22</v>
      </c>
      <c r="V2" s="7">
        <v>54</v>
      </c>
      <c r="W2" s="7">
        <v>2.41</v>
      </c>
      <c r="X2" s="7">
        <v>0</v>
      </c>
      <c r="Y2" s="7">
        <v>0</v>
      </c>
      <c r="Z2" s="7">
        <v>0</v>
      </c>
      <c r="AA2" s="7">
        <v>20.39</v>
      </c>
      <c r="AB2" s="7">
        <v>2975</v>
      </c>
      <c r="AC2" s="7">
        <v>1336000</v>
      </c>
      <c r="AD2" s="7">
        <v>1336000</v>
      </c>
      <c r="AE2" s="7">
        <v>1067042.8500000001</v>
      </c>
      <c r="AF2" s="7">
        <v>862</v>
      </c>
      <c r="AG2" s="7">
        <v>676</v>
      </c>
      <c r="AH2" s="12">
        <v>862</v>
      </c>
    </row>
    <row r="3" spans="1:34" ht="21" hidden="1" x14ac:dyDescent="0.25">
      <c r="A3" s="11">
        <v>10</v>
      </c>
      <c r="B3" s="8" t="s">
        <v>180</v>
      </c>
      <c r="C3" s="7">
        <v>314</v>
      </c>
      <c r="D3" s="8" t="s">
        <v>42</v>
      </c>
      <c r="E3" s="8" t="s">
        <v>11</v>
      </c>
      <c r="F3" s="8" t="s">
        <v>12</v>
      </c>
      <c r="G3" s="7">
        <v>105000</v>
      </c>
      <c r="H3" s="7">
        <v>70</v>
      </c>
      <c r="I3" s="7">
        <v>70</v>
      </c>
      <c r="J3" s="7">
        <v>64068.19</v>
      </c>
      <c r="K3" s="7">
        <v>47119.254308000003</v>
      </c>
      <c r="L3" s="7">
        <v>0</v>
      </c>
      <c r="M3" s="7">
        <v>26.45</v>
      </c>
      <c r="N3" s="7">
        <v>19.43</v>
      </c>
      <c r="O3" s="7">
        <v>675229.49</v>
      </c>
      <c r="P3" s="7">
        <v>507872.78409500001</v>
      </c>
      <c r="Q3" s="7">
        <v>0</v>
      </c>
      <c r="R3" s="7">
        <v>24.79</v>
      </c>
      <c r="S3" s="7">
        <v>70</v>
      </c>
      <c r="T3" s="7">
        <v>22</v>
      </c>
      <c r="U3" s="7">
        <v>22</v>
      </c>
      <c r="V3" s="7">
        <v>270</v>
      </c>
      <c r="W3" s="7">
        <v>8.56</v>
      </c>
      <c r="X3" s="7">
        <v>105000</v>
      </c>
      <c r="Y3" s="7">
        <v>1017.46</v>
      </c>
      <c r="Z3" s="7">
        <v>0</v>
      </c>
      <c r="AA3" s="7">
        <v>19.760000000000002</v>
      </c>
      <c r="AB3" s="7">
        <v>2975</v>
      </c>
      <c r="AC3" s="7">
        <v>678000</v>
      </c>
      <c r="AD3" s="7">
        <v>678000</v>
      </c>
      <c r="AE3" s="7">
        <v>478225.19</v>
      </c>
      <c r="AF3" s="7">
        <v>493</v>
      </c>
      <c r="AG3" s="7">
        <v>464</v>
      </c>
      <c r="AH3" s="12">
        <v>493</v>
      </c>
    </row>
    <row r="4" spans="1:34" ht="21" hidden="1" x14ac:dyDescent="0.25">
      <c r="A4" s="11">
        <v>4</v>
      </c>
      <c r="B4" s="8" t="s">
        <v>15</v>
      </c>
      <c r="C4" s="7">
        <v>374</v>
      </c>
      <c r="D4" s="8" t="s">
        <v>144</v>
      </c>
      <c r="E4" s="8" t="s">
        <v>11</v>
      </c>
      <c r="F4" s="8" t="s">
        <v>12</v>
      </c>
      <c r="G4" s="7">
        <v>0</v>
      </c>
      <c r="H4" s="7">
        <v>0</v>
      </c>
      <c r="I4" s="7">
        <v>0</v>
      </c>
      <c r="J4" s="7">
        <v>0</v>
      </c>
      <c r="K4" s="7">
        <v>809.89824899999996</v>
      </c>
      <c r="L4" s="7">
        <v>0</v>
      </c>
      <c r="M4" s="7">
        <v>0</v>
      </c>
      <c r="N4" s="7">
        <v>1</v>
      </c>
      <c r="O4" s="7">
        <v>589256.66</v>
      </c>
      <c r="P4" s="7">
        <v>426378.094323</v>
      </c>
      <c r="Q4" s="7">
        <v>0</v>
      </c>
      <c r="R4" s="7">
        <v>27.64</v>
      </c>
      <c r="S4" s="7">
        <v>0</v>
      </c>
      <c r="T4" s="7">
        <v>22</v>
      </c>
      <c r="U4" s="7">
        <v>22</v>
      </c>
      <c r="V4" s="7">
        <v>20</v>
      </c>
      <c r="W4" s="7">
        <v>1.26</v>
      </c>
      <c r="X4" s="7">
        <v>0</v>
      </c>
      <c r="Y4" s="7">
        <v>0</v>
      </c>
      <c r="Z4" s="7">
        <v>1</v>
      </c>
      <c r="AA4" s="7">
        <v>22.75</v>
      </c>
      <c r="AB4" s="7">
        <v>2975</v>
      </c>
      <c r="AC4" s="7">
        <v>755000</v>
      </c>
      <c r="AD4" s="7">
        <v>755000</v>
      </c>
      <c r="AE4" s="7">
        <v>615212.47</v>
      </c>
      <c r="AF4" s="7">
        <v>463</v>
      </c>
      <c r="AG4" s="7">
        <v>396</v>
      </c>
      <c r="AH4" s="12">
        <v>463</v>
      </c>
    </row>
    <row r="5" spans="1:34" hidden="1" x14ac:dyDescent="0.25">
      <c r="A5" s="11">
        <v>2</v>
      </c>
      <c r="B5" s="8" t="s">
        <v>10</v>
      </c>
      <c r="C5" s="7">
        <v>423</v>
      </c>
      <c r="D5" s="8" t="s">
        <v>43</v>
      </c>
      <c r="E5" s="8" t="s">
        <v>11</v>
      </c>
      <c r="F5" s="8" t="s">
        <v>12</v>
      </c>
      <c r="G5" s="7">
        <v>115000</v>
      </c>
      <c r="H5" s="7">
        <v>70</v>
      </c>
      <c r="I5" s="7">
        <v>70</v>
      </c>
      <c r="J5" s="7">
        <v>88490.34</v>
      </c>
      <c r="K5" s="7">
        <v>64604.605154999997</v>
      </c>
      <c r="L5" s="7">
        <v>0</v>
      </c>
      <c r="M5" s="7">
        <v>26.99</v>
      </c>
      <c r="N5" s="7">
        <v>18.61</v>
      </c>
      <c r="O5" s="7">
        <v>985449.1</v>
      </c>
      <c r="P5" s="7">
        <v>729210.20780199999</v>
      </c>
      <c r="Q5" s="7">
        <v>0</v>
      </c>
      <c r="R5" s="7">
        <v>26</v>
      </c>
      <c r="S5" s="7">
        <v>40</v>
      </c>
      <c r="T5" s="7">
        <v>22</v>
      </c>
      <c r="U5" s="7">
        <v>22</v>
      </c>
      <c r="V5" s="7">
        <v>339</v>
      </c>
      <c r="W5" s="7">
        <v>12.63</v>
      </c>
      <c r="X5" s="7">
        <v>115000</v>
      </c>
      <c r="Y5" s="7">
        <v>783.48</v>
      </c>
      <c r="Z5" s="7">
        <v>1</v>
      </c>
      <c r="AA5" s="7">
        <v>20.39</v>
      </c>
      <c r="AB5" s="7">
        <v>2975</v>
      </c>
      <c r="AC5" s="7">
        <v>1336000</v>
      </c>
      <c r="AD5" s="7">
        <v>1336000</v>
      </c>
      <c r="AE5" s="7">
        <v>1067042.8500000001</v>
      </c>
      <c r="AF5" s="7">
        <v>862</v>
      </c>
      <c r="AG5" s="7">
        <v>676</v>
      </c>
      <c r="AH5" s="12">
        <v>862</v>
      </c>
    </row>
    <row r="6" spans="1:34" ht="21" hidden="1" x14ac:dyDescent="0.25">
      <c r="A6" s="11">
        <v>6</v>
      </c>
      <c r="B6" s="8" t="s">
        <v>142</v>
      </c>
      <c r="C6" s="7">
        <v>465</v>
      </c>
      <c r="D6" s="8" t="s">
        <v>44</v>
      </c>
      <c r="E6" s="8" t="s">
        <v>11</v>
      </c>
      <c r="F6" s="8" t="s">
        <v>12</v>
      </c>
      <c r="G6" s="7">
        <v>95000</v>
      </c>
      <c r="H6" s="7">
        <v>82</v>
      </c>
      <c r="I6" s="7">
        <v>82</v>
      </c>
      <c r="J6" s="7">
        <v>81005.62</v>
      </c>
      <c r="K6" s="7">
        <v>61725.815557000002</v>
      </c>
      <c r="L6" s="7">
        <v>0</v>
      </c>
      <c r="M6" s="7">
        <v>23.8</v>
      </c>
      <c r="N6" s="7">
        <v>14.72</v>
      </c>
      <c r="O6" s="7">
        <v>595843.36</v>
      </c>
      <c r="P6" s="7">
        <v>450944.50232500001</v>
      </c>
      <c r="Q6" s="7">
        <v>0</v>
      </c>
      <c r="R6" s="7">
        <v>24.32</v>
      </c>
      <c r="S6" s="7">
        <v>82</v>
      </c>
      <c r="T6" s="7">
        <v>22</v>
      </c>
      <c r="U6" s="7">
        <v>22</v>
      </c>
      <c r="V6" s="7">
        <v>200</v>
      </c>
      <c r="W6" s="7">
        <v>6.8</v>
      </c>
      <c r="X6" s="7">
        <v>95000</v>
      </c>
      <c r="Y6" s="7">
        <v>495.95</v>
      </c>
      <c r="Z6" s="7">
        <v>1</v>
      </c>
      <c r="AA6" s="7">
        <v>19.489999999999998</v>
      </c>
      <c r="AB6" s="7">
        <v>2975</v>
      </c>
      <c r="AC6" s="7">
        <v>1051000</v>
      </c>
      <c r="AD6" s="7">
        <v>1051000</v>
      </c>
      <c r="AE6" s="7">
        <v>798720.49</v>
      </c>
      <c r="AF6" s="7">
        <v>908</v>
      </c>
      <c r="AG6" s="7">
        <v>697</v>
      </c>
      <c r="AH6" s="12">
        <v>908</v>
      </c>
    </row>
    <row r="7" spans="1:34" ht="21" hidden="1" x14ac:dyDescent="0.25">
      <c r="A7" s="11">
        <v>6</v>
      </c>
      <c r="B7" s="8" t="s">
        <v>142</v>
      </c>
      <c r="C7" s="7">
        <v>481</v>
      </c>
      <c r="D7" s="8" t="s">
        <v>45</v>
      </c>
      <c r="E7" s="8" t="s">
        <v>11</v>
      </c>
      <c r="F7" s="8" t="s">
        <v>12</v>
      </c>
      <c r="G7" s="7">
        <v>46000</v>
      </c>
      <c r="H7" s="7">
        <v>40</v>
      </c>
      <c r="I7" s="7">
        <v>40</v>
      </c>
      <c r="J7" s="7">
        <v>30708.400000000001</v>
      </c>
      <c r="K7" s="7">
        <v>23698.398101999999</v>
      </c>
      <c r="L7" s="7">
        <v>0</v>
      </c>
      <c r="M7" s="7">
        <v>22.83</v>
      </c>
      <c r="N7" s="7">
        <v>27.3</v>
      </c>
      <c r="O7" s="7">
        <v>595843.36</v>
      </c>
      <c r="P7" s="7">
        <v>450944.50232500001</v>
      </c>
      <c r="Q7" s="7">
        <v>0</v>
      </c>
      <c r="R7" s="7">
        <v>24.32</v>
      </c>
      <c r="S7" s="7">
        <v>30</v>
      </c>
      <c r="T7" s="7">
        <v>22</v>
      </c>
      <c r="U7" s="7">
        <v>22</v>
      </c>
      <c r="V7" s="7">
        <v>183</v>
      </c>
      <c r="W7" s="7">
        <v>6.39</v>
      </c>
      <c r="X7" s="7">
        <v>46000</v>
      </c>
      <c r="Y7" s="7">
        <v>409.2</v>
      </c>
      <c r="Z7" s="7">
        <v>1</v>
      </c>
      <c r="AA7" s="7">
        <v>19.489999999999998</v>
      </c>
      <c r="AB7" s="7">
        <v>2975</v>
      </c>
      <c r="AC7" s="7">
        <v>1051000</v>
      </c>
      <c r="AD7" s="7">
        <v>1051000</v>
      </c>
      <c r="AE7" s="7">
        <v>798720.49</v>
      </c>
      <c r="AF7" s="7">
        <v>908</v>
      </c>
      <c r="AG7" s="7">
        <v>697</v>
      </c>
      <c r="AH7" s="12">
        <v>908</v>
      </c>
    </row>
    <row r="8" spans="1:34" hidden="1" x14ac:dyDescent="0.25">
      <c r="A8" s="11">
        <v>2</v>
      </c>
      <c r="B8" s="8" t="s">
        <v>10</v>
      </c>
      <c r="C8" s="7">
        <v>520</v>
      </c>
      <c r="D8" s="8" t="s">
        <v>46</v>
      </c>
      <c r="E8" s="8" t="s">
        <v>11</v>
      </c>
      <c r="F8" s="8" t="s">
        <v>12</v>
      </c>
      <c r="G8" s="7">
        <v>115000</v>
      </c>
      <c r="H8" s="7">
        <v>69</v>
      </c>
      <c r="I8" s="7">
        <v>69</v>
      </c>
      <c r="J8" s="7">
        <v>61143.63</v>
      </c>
      <c r="K8" s="7">
        <v>44093.083271000003</v>
      </c>
      <c r="L8" s="7">
        <v>0</v>
      </c>
      <c r="M8" s="7">
        <v>27.89</v>
      </c>
      <c r="N8" s="7">
        <v>27.27</v>
      </c>
      <c r="O8" s="7">
        <v>985449.1</v>
      </c>
      <c r="P8" s="7">
        <v>729210.20780199999</v>
      </c>
      <c r="Q8" s="7">
        <v>0</v>
      </c>
      <c r="R8" s="7">
        <v>26</v>
      </c>
      <c r="S8" s="7">
        <v>33</v>
      </c>
      <c r="T8" s="7">
        <v>22</v>
      </c>
      <c r="U8" s="7">
        <v>22</v>
      </c>
      <c r="V8" s="7">
        <v>203</v>
      </c>
      <c r="W8" s="7">
        <v>12.13</v>
      </c>
      <c r="X8" s="7">
        <v>115000</v>
      </c>
      <c r="Y8" s="7">
        <v>12738.08</v>
      </c>
      <c r="Z8" s="7">
        <v>0</v>
      </c>
      <c r="AA8" s="7">
        <v>20.39</v>
      </c>
      <c r="AB8" s="7">
        <v>2975</v>
      </c>
      <c r="AC8" s="7">
        <v>1336000</v>
      </c>
      <c r="AD8" s="7">
        <v>1336000</v>
      </c>
      <c r="AE8" s="7">
        <v>1067042.8500000001</v>
      </c>
      <c r="AF8" s="7">
        <v>862</v>
      </c>
      <c r="AG8" s="7">
        <v>676</v>
      </c>
      <c r="AH8" s="12">
        <v>862</v>
      </c>
    </row>
    <row r="9" spans="1:34" hidden="1" x14ac:dyDescent="0.25">
      <c r="A9" s="11">
        <v>2</v>
      </c>
      <c r="B9" s="8" t="s">
        <v>10</v>
      </c>
      <c r="C9" s="7">
        <v>577</v>
      </c>
      <c r="D9" s="8" t="s">
        <v>47</v>
      </c>
      <c r="E9" s="8" t="s">
        <v>11</v>
      </c>
      <c r="F9" s="8" t="s">
        <v>12</v>
      </c>
      <c r="G9" s="7">
        <v>105000</v>
      </c>
      <c r="H9" s="7">
        <v>15</v>
      </c>
      <c r="I9" s="7">
        <v>15</v>
      </c>
      <c r="J9" s="7">
        <v>62596.04</v>
      </c>
      <c r="K9" s="7">
        <v>45989.914885999999</v>
      </c>
      <c r="L9" s="7">
        <v>0</v>
      </c>
      <c r="M9" s="7">
        <v>26.53</v>
      </c>
      <c r="N9" s="7">
        <v>18.61</v>
      </c>
      <c r="O9" s="7">
        <v>985449.1</v>
      </c>
      <c r="P9" s="7">
        <v>729210.20780199999</v>
      </c>
      <c r="Q9" s="7">
        <v>0</v>
      </c>
      <c r="R9" s="7">
        <v>26</v>
      </c>
      <c r="S9" s="7">
        <v>6</v>
      </c>
      <c r="T9" s="7">
        <v>22</v>
      </c>
      <c r="U9" s="7">
        <v>22</v>
      </c>
      <c r="V9" s="7">
        <v>101</v>
      </c>
      <c r="W9" s="7">
        <v>10.89</v>
      </c>
      <c r="X9" s="7">
        <v>105000</v>
      </c>
      <c r="Y9" s="7">
        <v>0</v>
      </c>
      <c r="Z9" s="7">
        <v>1</v>
      </c>
      <c r="AA9" s="7">
        <v>20.39</v>
      </c>
      <c r="AB9" s="7">
        <v>2975</v>
      </c>
      <c r="AC9" s="7">
        <v>1336000</v>
      </c>
      <c r="AD9" s="7">
        <v>1336000</v>
      </c>
      <c r="AE9" s="7">
        <v>1067042.8500000001</v>
      </c>
      <c r="AF9" s="7">
        <v>862</v>
      </c>
      <c r="AG9" s="7">
        <v>676</v>
      </c>
      <c r="AH9" s="12">
        <v>862</v>
      </c>
    </row>
    <row r="10" spans="1:34" ht="21" hidden="1" x14ac:dyDescent="0.25">
      <c r="A10" s="11">
        <v>6</v>
      </c>
      <c r="B10" s="8" t="s">
        <v>142</v>
      </c>
      <c r="C10" s="7">
        <v>644</v>
      </c>
      <c r="D10" s="8" t="s">
        <v>156</v>
      </c>
      <c r="E10" s="8" t="s">
        <v>11</v>
      </c>
      <c r="F10" s="8" t="s">
        <v>12</v>
      </c>
      <c r="G10" s="7">
        <v>47000</v>
      </c>
      <c r="H10" s="7">
        <v>25</v>
      </c>
      <c r="I10" s="7">
        <v>25</v>
      </c>
      <c r="J10" s="7">
        <v>0</v>
      </c>
      <c r="K10" s="7">
        <v>2361.9383269999998</v>
      </c>
      <c r="L10" s="7">
        <v>0</v>
      </c>
      <c r="M10" s="7">
        <v>0</v>
      </c>
      <c r="N10" s="7">
        <v>1</v>
      </c>
      <c r="O10" s="7">
        <v>595843.36</v>
      </c>
      <c r="P10" s="7">
        <v>450944.50232500001</v>
      </c>
      <c r="Q10" s="7">
        <v>0</v>
      </c>
      <c r="R10" s="7">
        <v>24.32</v>
      </c>
      <c r="S10" s="7">
        <v>0</v>
      </c>
      <c r="T10" s="7">
        <v>22</v>
      </c>
      <c r="U10" s="7">
        <v>22</v>
      </c>
      <c r="V10" s="7">
        <v>30</v>
      </c>
      <c r="W10" s="7">
        <v>2.77</v>
      </c>
      <c r="X10" s="7">
        <v>47000</v>
      </c>
      <c r="Y10" s="7">
        <v>0</v>
      </c>
      <c r="Z10" s="7">
        <v>0</v>
      </c>
      <c r="AA10" s="7">
        <v>19.489999999999998</v>
      </c>
      <c r="AB10" s="7">
        <v>2975</v>
      </c>
      <c r="AC10" s="7">
        <v>1051000</v>
      </c>
      <c r="AD10" s="7">
        <v>1051000</v>
      </c>
      <c r="AE10" s="7">
        <v>798720.49</v>
      </c>
      <c r="AF10" s="7">
        <v>908</v>
      </c>
      <c r="AG10" s="7">
        <v>697</v>
      </c>
      <c r="AH10" s="12">
        <v>908</v>
      </c>
    </row>
    <row r="11" spans="1:34" ht="21" hidden="1" x14ac:dyDescent="0.25">
      <c r="A11" s="11">
        <v>26</v>
      </c>
      <c r="B11" s="8" t="s">
        <v>13</v>
      </c>
      <c r="C11" s="7">
        <v>661</v>
      </c>
      <c r="D11" s="8" t="s">
        <v>48</v>
      </c>
      <c r="E11" s="8" t="s">
        <v>11</v>
      </c>
      <c r="F11" s="8" t="s">
        <v>12</v>
      </c>
      <c r="G11" s="7">
        <v>115000</v>
      </c>
      <c r="H11" s="7">
        <v>88</v>
      </c>
      <c r="I11" s="7">
        <v>88</v>
      </c>
      <c r="J11" s="7">
        <v>69237.33</v>
      </c>
      <c r="K11" s="7">
        <v>52566.377969000001</v>
      </c>
      <c r="L11" s="7">
        <v>0</v>
      </c>
      <c r="M11" s="7">
        <v>24.08</v>
      </c>
      <c r="N11" s="7">
        <v>22.22</v>
      </c>
      <c r="O11" s="7">
        <v>538753.56999999995</v>
      </c>
      <c r="P11" s="7">
        <v>415241.03464700002</v>
      </c>
      <c r="Q11" s="7">
        <v>0</v>
      </c>
      <c r="R11" s="7">
        <v>22.93</v>
      </c>
      <c r="S11" s="7">
        <v>58</v>
      </c>
      <c r="T11" s="7">
        <v>22</v>
      </c>
      <c r="U11" s="7">
        <v>22</v>
      </c>
      <c r="V11" s="7">
        <v>215</v>
      </c>
      <c r="W11" s="7">
        <v>8.07</v>
      </c>
      <c r="X11" s="7">
        <v>115000</v>
      </c>
      <c r="Y11" s="7">
        <v>1142.1500000000001</v>
      </c>
      <c r="Z11" s="7">
        <v>0</v>
      </c>
      <c r="AA11" s="7">
        <v>23.52</v>
      </c>
      <c r="AB11" s="7">
        <v>2975</v>
      </c>
      <c r="AC11" s="7">
        <v>878000</v>
      </c>
      <c r="AD11" s="7">
        <v>878000</v>
      </c>
      <c r="AE11" s="7">
        <v>606537.78</v>
      </c>
      <c r="AF11" s="7">
        <v>651</v>
      </c>
      <c r="AG11" s="7">
        <v>568</v>
      </c>
      <c r="AH11" s="12">
        <v>651</v>
      </c>
    </row>
    <row r="12" spans="1:34" hidden="1" x14ac:dyDescent="0.25">
      <c r="A12" s="11">
        <v>2</v>
      </c>
      <c r="B12" s="8" t="s">
        <v>10</v>
      </c>
      <c r="C12" s="7">
        <v>690</v>
      </c>
      <c r="D12" s="8" t="s">
        <v>49</v>
      </c>
      <c r="E12" s="8" t="s">
        <v>11</v>
      </c>
      <c r="F12" s="8" t="s">
        <v>12</v>
      </c>
      <c r="G12" s="7">
        <v>110000</v>
      </c>
      <c r="H12" s="7">
        <v>90</v>
      </c>
      <c r="I12" s="7">
        <v>90</v>
      </c>
      <c r="J12" s="7">
        <v>131618.5</v>
      </c>
      <c r="K12" s="7">
        <v>96576.184372000003</v>
      </c>
      <c r="L12" s="7">
        <v>0</v>
      </c>
      <c r="M12" s="7">
        <v>26.62</v>
      </c>
      <c r="N12" s="7">
        <v>20.68</v>
      </c>
      <c r="O12" s="7">
        <v>985449.1</v>
      </c>
      <c r="P12" s="7">
        <v>729210.20780199999</v>
      </c>
      <c r="Q12" s="7">
        <v>0</v>
      </c>
      <c r="R12" s="7">
        <v>26</v>
      </c>
      <c r="S12" s="7">
        <v>92</v>
      </c>
      <c r="T12" s="7">
        <v>22</v>
      </c>
      <c r="U12" s="7">
        <v>22</v>
      </c>
      <c r="V12" s="7">
        <v>407</v>
      </c>
      <c r="W12" s="7">
        <v>16.25</v>
      </c>
      <c r="X12" s="7">
        <v>110000</v>
      </c>
      <c r="Y12" s="7">
        <v>652.99</v>
      </c>
      <c r="Z12" s="7">
        <v>1</v>
      </c>
      <c r="AA12" s="7">
        <v>20.39</v>
      </c>
      <c r="AB12" s="7">
        <v>2975</v>
      </c>
      <c r="AC12" s="7">
        <v>1336000</v>
      </c>
      <c r="AD12" s="7">
        <v>1336000</v>
      </c>
      <c r="AE12" s="7">
        <v>1067042.8500000001</v>
      </c>
      <c r="AF12" s="7">
        <v>862</v>
      </c>
      <c r="AG12" s="7">
        <v>676</v>
      </c>
      <c r="AH12" s="12">
        <v>862</v>
      </c>
    </row>
    <row r="13" spans="1:34" ht="21" hidden="1" x14ac:dyDescent="0.25">
      <c r="A13" s="11">
        <v>26</v>
      </c>
      <c r="B13" s="8" t="s">
        <v>13</v>
      </c>
      <c r="C13" s="7">
        <v>705</v>
      </c>
      <c r="D13" s="8" t="s">
        <v>50</v>
      </c>
      <c r="E13" s="8" t="s">
        <v>11</v>
      </c>
      <c r="F13" s="8" t="s">
        <v>12</v>
      </c>
      <c r="G13" s="7">
        <v>112000</v>
      </c>
      <c r="H13" s="7">
        <v>35</v>
      </c>
      <c r="I13" s="7">
        <v>35</v>
      </c>
      <c r="J13" s="7">
        <v>68553.100000000006</v>
      </c>
      <c r="K13" s="7">
        <v>54464.694401000001</v>
      </c>
      <c r="L13" s="7">
        <v>0</v>
      </c>
      <c r="M13" s="7">
        <v>20.55</v>
      </c>
      <c r="N13" s="7">
        <v>26.76</v>
      </c>
      <c r="O13" s="7">
        <v>538753.56999999995</v>
      </c>
      <c r="P13" s="7">
        <v>415241.03464700002</v>
      </c>
      <c r="Q13" s="7">
        <v>0</v>
      </c>
      <c r="R13" s="7">
        <v>22.93</v>
      </c>
      <c r="S13" s="7">
        <v>28</v>
      </c>
      <c r="T13" s="7">
        <v>22</v>
      </c>
      <c r="U13" s="7">
        <v>22</v>
      </c>
      <c r="V13" s="7">
        <v>372</v>
      </c>
      <c r="W13" s="7">
        <v>14.32</v>
      </c>
      <c r="X13" s="7">
        <v>112000</v>
      </c>
      <c r="Y13" s="7">
        <v>0</v>
      </c>
      <c r="Z13" s="7">
        <v>0</v>
      </c>
      <c r="AA13" s="7">
        <v>23.52</v>
      </c>
      <c r="AB13" s="7">
        <v>2975</v>
      </c>
      <c r="AC13" s="7">
        <v>878000</v>
      </c>
      <c r="AD13" s="7">
        <v>878000</v>
      </c>
      <c r="AE13" s="7">
        <v>606537.78</v>
      </c>
      <c r="AF13" s="7">
        <v>651</v>
      </c>
      <c r="AG13" s="7">
        <v>568</v>
      </c>
      <c r="AH13" s="12">
        <v>651</v>
      </c>
    </row>
    <row r="14" spans="1:34" ht="21" hidden="1" x14ac:dyDescent="0.25">
      <c r="A14" s="11">
        <v>6</v>
      </c>
      <c r="B14" s="8" t="s">
        <v>142</v>
      </c>
      <c r="C14" s="7">
        <v>746</v>
      </c>
      <c r="D14" s="8" t="s">
        <v>51</v>
      </c>
      <c r="E14" s="8" t="s">
        <v>11</v>
      </c>
      <c r="F14" s="8" t="s">
        <v>12</v>
      </c>
      <c r="G14" s="7">
        <v>105000</v>
      </c>
      <c r="H14" s="7">
        <v>60</v>
      </c>
      <c r="I14" s="7">
        <v>60</v>
      </c>
      <c r="J14" s="7">
        <v>53266.9</v>
      </c>
      <c r="K14" s="7">
        <v>40068.478342000002</v>
      </c>
      <c r="L14" s="7">
        <v>0</v>
      </c>
      <c r="M14" s="7">
        <v>24.78</v>
      </c>
      <c r="N14" s="7">
        <v>24.66</v>
      </c>
      <c r="O14" s="7">
        <v>595843.36</v>
      </c>
      <c r="P14" s="7">
        <v>450944.50232500001</v>
      </c>
      <c r="Q14" s="7">
        <v>0</v>
      </c>
      <c r="R14" s="7">
        <v>24.32</v>
      </c>
      <c r="S14" s="7">
        <v>33</v>
      </c>
      <c r="T14" s="7">
        <v>22</v>
      </c>
      <c r="U14" s="7">
        <v>22</v>
      </c>
      <c r="V14" s="7">
        <v>240</v>
      </c>
      <c r="W14" s="7">
        <v>10.18</v>
      </c>
      <c r="X14" s="7">
        <v>105000</v>
      </c>
      <c r="Y14" s="7">
        <v>11.4</v>
      </c>
      <c r="Z14" s="7">
        <v>0</v>
      </c>
      <c r="AA14" s="7">
        <v>19.489999999999998</v>
      </c>
      <c r="AB14" s="7">
        <v>2975</v>
      </c>
      <c r="AC14" s="7">
        <v>1051000</v>
      </c>
      <c r="AD14" s="7">
        <v>1051000</v>
      </c>
      <c r="AE14" s="7">
        <v>798720.49</v>
      </c>
      <c r="AF14" s="7">
        <v>908</v>
      </c>
      <c r="AG14" s="7">
        <v>697</v>
      </c>
      <c r="AH14" s="12">
        <v>908</v>
      </c>
    </row>
    <row r="15" spans="1:34" hidden="1" x14ac:dyDescent="0.25">
      <c r="A15" s="11">
        <v>2</v>
      </c>
      <c r="B15" s="8" t="s">
        <v>10</v>
      </c>
      <c r="C15" s="7">
        <v>756</v>
      </c>
      <c r="D15" s="8" t="s">
        <v>52</v>
      </c>
      <c r="E15" s="8" t="s">
        <v>11</v>
      </c>
      <c r="F15" s="8" t="s">
        <v>12</v>
      </c>
      <c r="G15" s="7">
        <v>110000</v>
      </c>
      <c r="H15" s="7">
        <v>65</v>
      </c>
      <c r="I15" s="7">
        <v>65</v>
      </c>
      <c r="J15" s="7">
        <v>50191.12</v>
      </c>
      <c r="K15" s="7">
        <v>38772.006055999998</v>
      </c>
      <c r="L15" s="7">
        <v>0</v>
      </c>
      <c r="M15" s="7">
        <v>22.75</v>
      </c>
      <c r="N15" s="7">
        <v>20.72</v>
      </c>
      <c r="O15" s="7">
        <v>985449.1</v>
      </c>
      <c r="P15" s="7">
        <v>729210.20780199999</v>
      </c>
      <c r="Q15" s="7">
        <v>0</v>
      </c>
      <c r="R15" s="7">
        <v>26</v>
      </c>
      <c r="S15" s="7">
        <v>47</v>
      </c>
      <c r="T15" s="7">
        <v>22</v>
      </c>
      <c r="U15" s="7">
        <v>22</v>
      </c>
      <c r="V15" s="7">
        <v>260</v>
      </c>
      <c r="W15" s="7">
        <v>10.1</v>
      </c>
      <c r="X15" s="7">
        <v>110000</v>
      </c>
      <c r="Y15" s="7">
        <v>0</v>
      </c>
      <c r="Z15" s="7">
        <v>0</v>
      </c>
      <c r="AA15" s="7">
        <v>20.39</v>
      </c>
      <c r="AB15" s="7">
        <v>2975</v>
      </c>
      <c r="AC15" s="7">
        <v>1336000</v>
      </c>
      <c r="AD15" s="7">
        <v>1336000</v>
      </c>
      <c r="AE15" s="7">
        <v>1067042.8500000001</v>
      </c>
      <c r="AF15" s="7">
        <v>862</v>
      </c>
      <c r="AG15" s="7">
        <v>676</v>
      </c>
      <c r="AH15" s="12">
        <v>862</v>
      </c>
    </row>
    <row r="16" spans="1:34" ht="21" hidden="1" x14ac:dyDescent="0.25">
      <c r="A16" s="11">
        <v>26</v>
      </c>
      <c r="B16" s="8" t="s">
        <v>13</v>
      </c>
      <c r="C16" s="7">
        <v>759</v>
      </c>
      <c r="D16" s="8" t="s">
        <v>53</v>
      </c>
      <c r="E16" s="8" t="s">
        <v>11</v>
      </c>
      <c r="F16" s="8" t="s">
        <v>12</v>
      </c>
      <c r="G16" s="7">
        <v>52000</v>
      </c>
      <c r="H16" s="7">
        <v>49</v>
      </c>
      <c r="I16" s="7">
        <v>49</v>
      </c>
      <c r="J16" s="7">
        <v>43609.37</v>
      </c>
      <c r="K16" s="7">
        <v>33383.132893000002</v>
      </c>
      <c r="L16" s="7">
        <v>0</v>
      </c>
      <c r="M16" s="7">
        <v>23.45</v>
      </c>
      <c r="N16" s="7">
        <v>18.98</v>
      </c>
      <c r="O16" s="7">
        <v>538753.56999999995</v>
      </c>
      <c r="P16" s="7">
        <v>415241.03464700002</v>
      </c>
      <c r="Q16" s="7">
        <v>0</v>
      </c>
      <c r="R16" s="7">
        <v>22.93</v>
      </c>
      <c r="S16" s="7">
        <v>51</v>
      </c>
      <c r="T16" s="7">
        <v>22</v>
      </c>
      <c r="U16" s="7">
        <v>22</v>
      </c>
      <c r="V16" s="7">
        <v>248</v>
      </c>
      <c r="W16" s="7">
        <v>9.3000000000000007</v>
      </c>
      <c r="X16" s="7">
        <v>52000</v>
      </c>
      <c r="Y16" s="7">
        <v>73.349999999999994</v>
      </c>
      <c r="Z16" s="7">
        <v>1</v>
      </c>
      <c r="AA16" s="7">
        <v>23.52</v>
      </c>
      <c r="AB16" s="7">
        <v>2975</v>
      </c>
      <c r="AC16" s="7">
        <v>878000</v>
      </c>
      <c r="AD16" s="7">
        <v>878000</v>
      </c>
      <c r="AE16" s="7">
        <v>606537.78</v>
      </c>
      <c r="AF16" s="7">
        <v>651</v>
      </c>
      <c r="AG16" s="7">
        <v>568</v>
      </c>
      <c r="AH16" s="12">
        <v>651</v>
      </c>
    </row>
    <row r="17" spans="1:34" ht="21" hidden="1" x14ac:dyDescent="0.25">
      <c r="A17" s="11">
        <v>5</v>
      </c>
      <c r="B17" s="8" t="s">
        <v>143</v>
      </c>
      <c r="C17" s="7">
        <v>760</v>
      </c>
      <c r="D17" s="8" t="s">
        <v>54</v>
      </c>
      <c r="E17" s="8" t="s">
        <v>11</v>
      </c>
      <c r="F17" s="8" t="s">
        <v>12</v>
      </c>
      <c r="G17" s="7">
        <v>160000</v>
      </c>
      <c r="H17" s="7">
        <v>30</v>
      </c>
      <c r="I17" s="7">
        <v>30</v>
      </c>
      <c r="J17" s="7">
        <v>111460.91</v>
      </c>
      <c r="K17" s="7">
        <v>83198.135418999998</v>
      </c>
      <c r="L17" s="7">
        <v>0</v>
      </c>
      <c r="M17" s="7">
        <v>25.36</v>
      </c>
      <c r="N17" s="7">
        <v>41.55</v>
      </c>
      <c r="O17" s="7">
        <v>283650.64</v>
      </c>
      <c r="P17" s="7">
        <v>214409.30452199999</v>
      </c>
      <c r="Q17" s="7">
        <v>0</v>
      </c>
      <c r="R17" s="7">
        <v>24.41</v>
      </c>
      <c r="S17" s="7">
        <v>31</v>
      </c>
      <c r="T17" s="7">
        <v>22</v>
      </c>
      <c r="U17" s="7">
        <v>22</v>
      </c>
      <c r="V17" s="7">
        <v>98</v>
      </c>
      <c r="W17" s="7">
        <v>5.0999999999999996</v>
      </c>
      <c r="X17" s="7">
        <v>160000</v>
      </c>
      <c r="Y17" s="7">
        <v>2955.02</v>
      </c>
      <c r="Z17" s="7">
        <v>0</v>
      </c>
      <c r="AA17" s="7">
        <v>24.18</v>
      </c>
      <c r="AB17" s="7">
        <v>2975</v>
      </c>
      <c r="AC17" s="7">
        <v>570000</v>
      </c>
      <c r="AD17" s="7">
        <v>570000</v>
      </c>
      <c r="AE17" s="7">
        <v>257322.78</v>
      </c>
      <c r="AF17" s="7">
        <v>340</v>
      </c>
      <c r="AG17" s="7">
        <v>127</v>
      </c>
      <c r="AH17" s="12">
        <v>340</v>
      </c>
    </row>
    <row r="18" spans="1:34" ht="21" hidden="1" x14ac:dyDescent="0.25">
      <c r="A18" s="11">
        <v>6</v>
      </c>
      <c r="B18" s="8" t="s">
        <v>142</v>
      </c>
      <c r="C18" s="7">
        <v>764</v>
      </c>
      <c r="D18" s="8" t="s">
        <v>55</v>
      </c>
      <c r="E18" s="8" t="s">
        <v>11</v>
      </c>
      <c r="F18" s="8" t="s">
        <v>12</v>
      </c>
      <c r="G18" s="7">
        <v>109000</v>
      </c>
      <c r="H18" s="7">
        <v>83</v>
      </c>
      <c r="I18" s="7">
        <v>83</v>
      </c>
      <c r="J18" s="7">
        <v>110394.39</v>
      </c>
      <c r="K18" s="7">
        <v>83404.355104999995</v>
      </c>
      <c r="L18" s="7">
        <v>0</v>
      </c>
      <c r="M18" s="7">
        <v>24.45</v>
      </c>
      <c r="N18" s="7">
        <v>19.079999999999998</v>
      </c>
      <c r="O18" s="7">
        <v>595843.36</v>
      </c>
      <c r="P18" s="7">
        <v>450944.50232500001</v>
      </c>
      <c r="Q18" s="7">
        <v>0</v>
      </c>
      <c r="R18" s="7">
        <v>24.32</v>
      </c>
      <c r="S18" s="7">
        <v>77</v>
      </c>
      <c r="T18" s="7">
        <v>22</v>
      </c>
      <c r="U18" s="7">
        <v>22</v>
      </c>
      <c r="V18" s="7">
        <v>613</v>
      </c>
      <c r="W18" s="7">
        <v>15.68</v>
      </c>
      <c r="X18" s="7">
        <v>109000</v>
      </c>
      <c r="Y18" s="7">
        <v>3238.74</v>
      </c>
      <c r="Z18" s="7">
        <v>1</v>
      </c>
      <c r="AA18" s="7">
        <v>19.489999999999998</v>
      </c>
      <c r="AB18" s="7">
        <v>2975</v>
      </c>
      <c r="AC18" s="7">
        <v>1051000</v>
      </c>
      <c r="AD18" s="7">
        <v>1051000</v>
      </c>
      <c r="AE18" s="7">
        <v>798720.49</v>
      </c>
      <c r="AF18" s="7">
        <v>908</v>
      </c>
      <c r="AG18" s="7">
        <v>697</v>
      </c>
      <c r="AH18" s="12">
        <v>908</v>
      </c>
    </row>
    <row r="19" spans="1:34" hidden="1" x14ac:dyDescent="0.25">
      <c r="A19" s="11">
        <v>2</v>
      </c>
      <c r="B19" s="8" t="s">
        <v>10</v>
      </c>
      <c r="C19" s="7">
        <v>774</v>
      </c>
      <c r="D19" s="8" t="s">
        <v>56</v>
      </c>
      <c r="E19" s="8" t="s">
        <v>11</v>
      </c>
      <c r="F19" s="8" t="s">
        <v>12</v>
      </c>
      <c r="G19" s="7">
        <v>115000</v>
      </c>
      <c r="H19" s="7">
        <v>80</v>
      </c>
      <c r="I19" s="7">
        <v>80</v>
      </c>
      <c r="J19" s="7">
        <v>119600.49</v>
      </c>
      <c r="K19" s="7">
        <v>88667.856979000004</v>
      </c>
      <c r="L19" s="7">
        <v>0</v>
      </c>
      <c r="M19" s="7">
        <v>25.86</v>
      </c>
      <c r="N19" s="7">
        <v>16.11</v>
      </c>
      <c r="O19" s="7">
        <v>985449.1</v>
      </c>
      <c r="P19" s="7">
        <v>729210.20780199999</v>
      </c>
      <c r="Q19" s="7">
        <v>0</v>
      </c>
      <c r="R19" s="7">
        <v>26</v>
      </c>
      <c r="S19" s="7">
        <v>83</v>
      </c>
      <c r="T19" s="7">
        <v>22</v>
      </c>
      <c r="U19" s="7">
        <v>22</v>
      </c>
      <c r="V19" s="7">
        <v>332</v>
      </c>
      <c r="W19" s="7">
        <v>11.13</v>
      </c>
      <c r="X19" s="7">
        <v>115000</v>
      </c>
      <c r="Y19" s="7">
        <v>151.94999999999999</v>
      </c>
      <c r="Z19" s="7">
        <v>0</v>
      </c>
      <c r="AA19" s="7">
        <v>20.39</v>
      </c>
      <c r="AB19" s="7">
        <v>2975</v>
      </c>
      <c r="AC19" s="7">
        <v>1336000</v>
      </c>
      <c r="AD19" s="7">
        <v>1336000</v>
      </c>
      <c r="AE19" s="7">
        <v>1067042.8500000001</v>
      </c>
      <c r="AF19" s="7">
        <v>862</v>
      </c>
      <c r="AG19" s="7">
        <v>676</v>
      </c>
      <c r="AH19" s="12">
        <v>862</v>
      </c>
    </row>
    <row r="20" spans="1:34" ht="21" hidden="1" x14ac:dyDescent="0.25">
      <c r="A20" s="11">
        <v>26</v>
      </c>
      <c r="B20" s="8" t="s">
        <v>13</v>
      </c>
      <c r="C20" s="7">
        <v>796</v>
      </c>
      <c r="D20" s="8" t="s">
        <v>61</v>
      </c>
      <c r="E20" s="8" t="s">
        <v>11</v>
      </c>
      <c r="F20" s="8" t="s">
        <v>12</v>
      </c>
      <c r="G20" s="7">
        <v>41000</v>
      </c>
      <c r="H20" s="7">
        <v>2</v>
      </c>
      <c r="I20" s="7">
        <v>2</v>
      </c>
      <c r="J20" s="7">
        <v>31910.41</v>
      </c>
      <c r="K20" s="7">
        <v>25011.417291000002</v>
      </c>
      <c r="L20" s="7">
        <v>0</v>
      </c>
      <c r="M20" s="7">
        <v>21.62</v>
      </c>
      <c r="N20" s="7">
        <v>42.28</v>
      </c>
      <c r="O20" s="7">
        <v>538753.56999999995</v>
      </c>
      <c r="P20" s="7">
        <v>415241.03464700002</v>
      </c>
      <c r="Q20" s="7">
        <v>0</v>
      </c>
      <c r="R20" s="7">
        <v>22.93</v>
      </c>
      <c r="S20" s="7">
        <v>1</v>
      </c>
      <c r="T20" s="7">
        <v>22</v>
      </c>
      <c r="U20" s="7">
        <v>22</v>
      </c>
      <c r="V20" s="7">
        <v>131</v>
      </c>
      <c r="W20" s="7">
        <v>7.67</v>
      </c>
      <c r="X20" s="7">
        <v>41000</v>
      </c>
      <c r="Y20" s="7">
        <v>205.23</v>
      </c>
      <c r="Z20" s="7">
        <v>0</v>
      </c>
      <c r="AA20" s="7">
        <v>23.52</v>
      </c>
      <c r="AB20" s="7">
        <v>2975</v>
      </c>
      <c r="AC20" s="7">
        <v>878000</v>
      </c>
      <c r="AD20" s="7">
        <v>878000</v>
      </c>
      <c r="AE20" s="7">
        <v>606537.78</v>
      </c>
      <c r="AF20" s="7">
        <v>651</v>
      </c>
      <c r="AG20" s="7">
        <v>568</v>
      </c>
      <c r="AH20" s="12">
        <v>651</v>
      </c>
    </row>
    <row r="21" spans="1:34" hidden="1" x14ac:dyDescent="0.25">
      <c r="A21" s="11">
        <v>2</v>
      </c>
      <c r="B21" s="8" t="s">
        <v>10</v>
      </c>
      <c r="C21" s="7">
        <v>817</v>
      </c>
      <c r="D21" s="8" t="s">
        <v>57</v>
      </c>
      <c r="E21" s="8" t="s">
        <v>11</v>
      </c>
      <c r="F21" s="8" t="s">
        <v>12</v>
      </c>
      <c r="G21" s="7">
        <v>115000</v>
      </c>
      <c r="H21" s="7">
        <v>70</v>
      </c>
      <c r="I21" s="7">
        <v>70</v>
      </c>
      <c r="J21" s="7">
        <v>115904.7</v>
      </c>
      <c r="K21" s="7">
        <v>84978.551691999994</v>
      </c>
      <c r="L21" s="7">
        <v>0</v>
      </c>
      <c r="M21" s="7">
        <v>26.68</v>
      </c>
      <c r="N21" s="7">
        <v>21.77</v>
      </c>
      <c r="O21" s="7">
        <v>985449.1</v>
      </c>
      <c r="P21" s="7">
        <v>729210.20780199999</v>
      </c>
      <c r="Q21" s="7">
        <v>0</v>
      </c>
      <c r="R21" s="7">
        <v>26</v>
      </c>
      <c r="S21" s="7">
        <v>70</v>
      </c>
      <c r="T21" s="7">
        <v>22</v>
      </c>
      <c r="U21" s="7">
        <v>22</v>
      </c>
      <c r="V21" s="7">
        <v>371</v>
      </c>
      <c r="W21" s="7">
        <v>12.91</v>
      </c>
      <c r="X21" s="7">
        <v>115000</v>
      </c>
      <c r="Y21" s="7">
        <v>713.81</v>
      </c>
      <c r="Z21" s="7">
        <v>1</v>
      </c>
      <c r="AA21" s="7">
        <v>20.39</v>
      </c>
      <c r="AB21" s="7">
        <v>2975</v>
      </c>
      <c r="AC21" s="7">
        <v>1336000</v>
      </c>
      <c r="AD21" s="7">
        <v>1336000</v>
      </c>
      <c r="AE21" s="7">
        <v>1067042.8500000001</v>
      </c>
      <c r="AF21" s="7">
        <v>862</v>
      </c>
      <c r="AG21" s="7">
        <v>676</v>
      </c>
      <c r="AH21" s="12">
        <v>862</v>
      </c>
    </row>
    <row r="22" spans="1:34" ht="21" hidden="1" x14ac:dyDescent="0.25">
      <c r="A22" s="11">
        <v>12</v>
      </c>
      <c r="B22" s="8" t="s">
        <v>14</v>
      </c>
      <c r="C22" s="7">
        <v>853</v>
      </c>
      <c r="D22" s="8" t="s">
        <v>58</v>
      </c>
      <c r="E22" s="8" t="s">
        <v>11</v>
      </c>
      <c r="F22" s="8" t="s">
        <v>12</v>
      </c>
      <c r="G22" s="7">
        <v>60000</v>
      </c>
      <c r="H22" s="7">
        <v>65</v>
      </c>
      <c r="I22" s="7">
        <v>65</v>
      </c>
      <c r="J22" s="7">
        <v>34413.230000000003</v>
      </c>
      <c r="K22" s="7">
        <v>26302.422224999998</v>
      </c>
      <c r="L22" s="7">
        <v>0</v>
      </c>
      <c r="M22" s="7">
        <v>23.57</v>
      </c>
      <c r="N22" s="7">
        <v>13.73</v>
      </c>
      <c r="O22" s="7">
        <v>230629.95</v>
      </c>
      <c r="P22" s="7">
        <v>175794.35781799999</v>
      </c>
      <c r="Q22" s="7">
        <v>0</v>
      </c>
      <c r="R22" s="7">
        <v>23.78</v>
      </c>
      <c r="S22" s="7">
        <v>47</v>
      </c>
      <c r="T22" s="7">
        <v>22</v>
      </c>
      <c r="U22" s="7">
        <v>22</v>
      </c>
      <c r="V22" s="7">
        <v>259</v>
      </c>
      <c r="W22" s="7">
        <v>11.29</v>
      </c>
      <c r="X22" s="7">
        <v>60000</v>
      </c>
      <c r="Y22" s="7">
        <v>654.76</v>
      </c>
      <c r="Z22" s="7">
        <v>1</v>
      </c>
      <c r="AA22" s="7">
        <v>28.96</v>
      </c>
      <c r="AB22" s="7">
        <v>2975</v>
      </c>
      <c r="AC22" s="7">
        <v>700000</v>
      </c>
      <c r="AD22" s="7">
        <v>700000</v>
      </c>
      <c r="AE22" s="7">
        <v>256957.81</v>
      </c>
      <c r="AF22" s="7">
        <v>785</v>
      </c>
      <c r="AG22" s="7">
        <v>326</v>
      </c>
      <c r="AH22" s="12">
        <v>785</v>
      </c>
    </row>
    <row r="23" spans="1:34" ht="21" hidden="1" x14ac:dyDescent="0.25">
      <c r="A23" s="11">
        <v>12</v>
      </c>
      <c r="B23" s="8" t="s">
        <v>14</v>
      </c>
      <c r="C23" s="7">
        <v>884</v>
      </c>
      <c r="D23" s="8" t="s">
        <v>140</v>
      </c>
      <c r="E23" s="8" t="s">
        <v>11</v>
      </c>
      <c r="F23" s="8" t="s">
        <v>12</v>
      </c>
      <c r="G23" s="7">
        <v>0</v>
      </c>
      <c r="H23" s="7">
        <v>0</v>
      </c>
      <c r="I23" s="7">
        <v>0</v>
      </c>
      <c r="J23" s="7">
        <v>0</v>
      </c>
      <c r="K23" s="7">
        <v>830.20456899999999</v>
      </c>
      <c r="L23" s="7">
        <v>0</v>
      </c>
      <c r="M23" s="7">
        <v>0</v>
      </c>
      <c r="N23" s="7">
        <v>1</v>
      </c>
      <c r="O23" s="7">
        <v>230629.95</v>
      </c>
      <c r="P23" s="7">
        <v>175794.35781799999</v>
      </c>
      <c r="Q23" s="7">
        <v>0</v>
      </c>
      <c r="R23" s="7">
        <v>23.78</v>
      </c>
      <c r="S23" s="7">
        <v>0</v>
      </c>
      <c r="T23" s="7">
        <v>22</v>
      </c>
      <c r="U23" s="7">
        <v>22</v>
      </c>
      <c r="V23" s="7">
        <v>13</v>
      </c>
      <c r="W23" s="7">
        <v>3.25</v>
      </c>
      <c r="X23" s="7">
        <v>0</v>
      </c>
      <c r="Y23" s="7">
        <v>0</v>
      </c>
      <c r="Z23" s="7">
        <v>0</v>
      </c>
      <c r="AA23" s="7">
        <v>28.96</v>
      </c>
      <c r="AB23" s="7">
        <v>2975</v>
      </c>
      <c r="AC23" s="7">
        <v>700000</v>
      </c>
      <c r="AD23" s="7">
        <v>700000</v>
      </c>
      <c r="AE23" s="7">
        <v>256957.81</v>
      </c>
      <c r="AF23" s="7">
        <v>785</v>
      </c>
      <c r="AG23" s="7">
        <v>326</v>
      </c>
      <c r="AH23" s="12">
        <v>785</v>
      </c>
    </row>
    <row r="24" spans="1:34" ht="21" hidden="1" x14ac:dyDescent="0.25">
      <c r="A24" s="11">
        <v>10</v>
      </c>
      <c r="B24" s="8" t="s">
        <v>180</v>
      </c>
      <c r="C24" s="7">
        <v>922</v>
      </c>
      <c r="D24" s="8" t="s">
        <v>59</v>
      </c>
      <c r="E24" s="8" t="s">
        <v>11</v>
      </c>
      <c r="F24" s="8" t="s">
        <v>12</v>
      </c>
      <c r="G24" s="7">
        <v>59000</v>
      </c>
      <c r="H24" s="7">
        <v>68</v>
      </c>
      <c r="I24" s="7">
        <v>68</v>
      </c>
      <c r="J24" s="7">
        <v>60139.92</v>
      </c>
      <c r="K24" s="7">
        <v>44668.264955999999</v>
      </c>
      <c r="L24" s="7">
        <v>0</v>
      </c>
      <c r="M24" s="7">
        <v>25.73</v>
      </c>
      <c r="N24" s="7">
        <v>15.86</v>
      </c>
      <c r="O24" s="7">
        <v>675229.49</v>
      </c>
      <c r="P24" s="7">
        <v>507872.78409500001</v>
      </c>
      <c r="Q24" s="7">
        <v>0</v>
      </c>
      <c r="R24" s="7">
        <v>24.79</v>
      </c>
      <c r="S24" s="7">
        <v>73</v>
      </c>
      <c r="T24" s="7">
        <v>22</v>
      </c>
      <c r="U24" s="7">
        <v>22</v>
      </c>
      <c r="V24" s="7">
        <v>487</v>
      </c>
      <c r="W24" s="7">
        <v>12.61</v>
      </c>
      <c r="X24" s="7">
        <v>59000</v>
      </c>
      <c r="Y24" s="7">
        <v>0</v>
      </c>
      <c r="Z24" s="7">
        <v>1</v>
      </c>
      <c r="AA24" s="7">
        <v>19.760000000000002</v>
      </c>
      <c r="AB24" s="7">
        <v>2975</v>
      </c>
      <c r="AC24" s="7">
        <v>678000</v>
      </c>
      <c r="AD24" s="7">
        <v>678000</v>
      </c>
      <c r="AE24" s="7">
        <v>478225.19</v>
      </c>
      <c r="AF24" s="7">
        <v>493</v>
      </c>
      <c r="AG24" s="7">
        <v>464</v>
      </c>
      <c r="AH24" s="12">
        <v>493</v>
      </c>
    </row>
    <row r="25" spans="1:34" ht="21" hidden="1" x14ac:dyDescent="0.25">
      <c r="A25" s="11">
        <v>4</v>
      </c>
      <c r="B25" s="8" t="s">
        <v>15</v>
      </c>
      <c r="C25" s="7">
        <v>949</v>
      </c>
      <c r="D25" s="8" t="s">
        <v>60</v>
      </c>
      <c r="E25" s="8" t="s">
        <v>11</v>
      </c>
      <c r="F25" s="8" t="s">
        <v>12</v>
      </c>
      <c r="G25" s="7">
        <v>115000</v>
      </c>
      <c r="H25" s="7">
        <v>60</v>
      </c>
      <c r="I25" s="7">
        <v>60</v>
      </c>
      <c r="J25" s="7">
        <v>75318</v>
      </c>
      <c r="K25" s="7">
        <v>55105.925321000002</v>
      </c>
      <c r="L25" s="7">
        <v>0</v>
      </c>
      <c r="M25" s="7">
        <v>26.84</v>
      </c>
      <c r="N25" s="7">
        <v>22.74</v>
      </c>
      <c r="O25" s="7">
        <v>589256.66</v>
      </c>
      <c r="P25" s="7">
        <v>426378.094323</v>
      </c>
      <c r="Q25" s="7">
        <v>0</v>
      </c>
      <c r="R25" s="7">
        <v>27.64</v>
      </c>
      <c r="S25" s="7">
        <v>47</v>
      </c>
      <c r="T25" s="7">
        <v>22</v>
      </c>
      <c r="U25" s="7">
        <v>22</v>
      </c>
      <c r="V25" s="7">
        <v>585</v>
      </c>
      <c r="W25" s="7">
        <v>17.28</v>
      </c>
      <c r="X25" s="7">
        <v>115000</v>
      </c>
      <c r="Y25" s="7">
        <v>0</v>
      </c>
      <c r="Z25" s="7">
        <v>0</v>
      </c>
      <c r="AA25" s="7">
        <v>22.75</v>
      </c>
      <c r="AB25" s="7">
        <v>2975</v>
      </c>
      <c r="AC25" s="7">
        <v>755000</v>
      </c>
      <c r="AD25" s="7">
        <v>755000</v>
      </c>
      <c r="AE25" s="7">
        <v>615212.47</v>
      </c>
      <c r="AF25" s="7">
        <v>463</v>
      </c>
      <c r="AG25" s="7">
        <v>396</v>
      </c>
      <c r="AH25" s="12">
        <v>463</v>
      </c>
    </row>
    <row r="26" spans="1:34" ht="21" hidden="1" x14ac:dyDescent="0.25">
      <c r="A26" s="11">
        <v>26</v>
      </c>
      <c r="B26" s="8" t="s">
        <v>13</v>
      </c>
      <c r="C26" s="7">
        <v>950</v>
      </c>
      <c r="D26" s="8" t="s">
        <v>61</v>
      </c>
      <c r="E26" s="8" t="s">
        <v>11</v>
      </c>
      <c r="F26" s="8" t="s">
        <v>12</v>
      </c>
      <c r="G26" s="7">
        <v>39000</v>
      </c>
      <c r="H26" s="7">
        <v>46</v>
      </c>
      <c r="I26" s="7">
        <v>46</v>
      </c>
      <c r="J26" s="7">
        <v>42230.97</v>
      </c>
      <c r="K26" s="7">
        <v>33347.527266999998</v>
      </c>
      <c r="L26" s="7">
        <v>0</v>
      </c>
      <c r="M26" s="7">
        <v>21.04</v>
      </c>
      <c r="N26" s="7">
        <v>26.77</v>
      </c>
      <c r="O26" s="7">
        <v>538753.56999999995</v>
      </c>
      <c r="P26" s="7">
        <v>415241.03464700002</v>
      </c>
      <c r="Q26" s="7">
        <v>0</v>
      </c>
      <c r="R26" s="7">
        <v>22.93</v>
      </c>
      <c r="S26" s="7">
        <v>46</v>
      </c>
      <c r="T26" s="7">
        <v>22</v>
      </c>
      <c r="U26" s="7">
        <v>22</v>
      </c>
      <c r="V26" s="7">
        <v>285</v>
      </c>
      <c r="W26" s="7">
        <v>9.4499999999999993</v>
      </c>
      <c r="X26" s="7">
        <v>39000</v>
      </c>
      <c r="Y26" s="7">
        <v>0</v>
      </c>
      <c r="Z26" s="7">
        <v>1</v>
      </c>
      <c r="AA26" s="7">
        <v>23.52</v>
      </c>
      <c r="AB26" s="7">
        <v>2975</v>
      </c>
      <c r="AC26" s="7">
        <v>878000</v>
      </c>
      <c r="AD26" s="7">
        <v>878000</v>
      </c>
      <c r="AE26" s="7">
        <v>606537.78</v>
      </c>
      <c r="AF26" s="7">
        <v>651</v>
      </c>
      <c r="AG26" s="7">
        <v>568</v>
      </c>
      <c r="AH26" s="12">
        <v>651</v>
      </c>
    </row>
    <row r="27" spans="1:34" ht="21" hidden="1" x14ac:dyDescent="0.25">
      <c r="A27" s="11">
        <v>6</v>
      </c>
      <c r="B27" s="8" t="s">
        <v>142</v>
      </c>
      <c r="C27" s="7">
        <v>953</v>
      </c>
      <c r="D27" s="8" t="s">
        <v>62</v>
      </c>
      <c r="E27" s="8" t="s">
        <v>11</v>
      </c>
      <c r="F27" s="8" t="s">
        <v>12</v>
      </c>
      <c r="G27" s="7">
        <v>25000</v>
      </c>
      <c r="H27" s="7">
        <v>25</v>
      </c>
      <c r="I27" s="7">
        <v>25</v>
      </c>
      <c r="J27" s="7">
        <v>9707.69</v>
      </c>
      <c r="K27" s="7">
        <v>7166.9546879999998</v>
      </c>
      <c r="L27" s="7">
        <v>0</v>
      </c>
      <c r="M27" s="7">
        <v>26.17</v>
      </c>
      <c r="N27" s="7">
        <v>21.48</v>
      </c>
      <c r="O27" s="7">
        <v>595843.36</v>
      </c>
      <c r="P27" s="7">
        <v>450944.50232500001</v>
      </c>
      <c r="Q27" s="7">
        <v>0</v>
      </c>
      <c r="R27" s="7">
        <v>24.32</v>
      </c>
      <c r="S27" s="7">
        <v>12</v>
      </c>
      <c r="T27" s="7">
        <v>22</v>
      </c>
      <c r="U27" s="7">
        <v>22</v>
      </c>
      <c r="V27" s="7">
        <v>113</v>
      </c>
      <c r="W27" s="7">
        <v>13</v>
      </c>
      <c r="X27" s="7">
        <v>25000</v>
      </c>
      <c r="Y27" s="7">
        <v>0</v>
      </c>
      <c r="Z27" s="7">
        <v>0</v>
      </c>
      <c r="AA27" s="7">
        <v>19.489999999999998</v>
      </c>
      <c r="AB27" s="7">
        <v>2975</v>
      </c>
      <c r="AC27" s="7">
        <v>1051000</v>
      </c>
      <c r="AD27" s="7">
        <v>1051000</v>
      </c>
      <c r="AE27" s="7">
        <v>798720.49</v>
      </c>
      <c r="AF27" s="7">
        <v>908</v>
      </c>
      <c r="AG27" s="7">
        <v>697</v>
      </c>
      <c r="AH27" s="12">
        <v>908</v>
      </c>
    </row>
    <row r="28" spans="1:34" ht="21" hidden="1" x14ac:dyDescent="0.25">
      <c r="A28" s="11">
        <v>26</v>
      </c>
      <c r="B28" s="8" t="s">
        <v>13</v>
      </c>
      <c r="C28" s="7">
        <v>962</v>
      </c>
      <c r="D28" s="8" t="s">
        <v>63</v>
      </c>
      <c r="E28" s="8" t="s">
        <v>11</v>
      </c>
      <c r="F28" s="8" t="s">
        <v>12</v>
      </c>
      <c r="G28" s="7">
        <v>50000</v>
      </c>
      <c r="H28" s="7">
        <v>49</v>
      </c>
      <c r="I28" s="7">
        <v>49</v>
      </c>
      <c r="J28" s="7">
        <v>53570.79</v>
      </c>
      <c r="K28" s="7">
        <v>40831.187153999999</v>
      </c>
      <c r="L28" s="7">
        <v>0</v>
      </c>
      <c r="M28" s="7">
        <v>23.78</v>
      </c>
      <c r="N28" s="7">
        <v>19.48</v>
      </c>
      <c r="O28" s="7">
        <v>538753.56999999995</v>
      </c>
      <c r="P28" s="7">
        <v>415241.03464700002</v>
      </c>
      <c r="Q28" s="7">
        <v>0</v>
      </c>
      <c r="R28" s="7">
        <v>22.93</v>
      </c>
      <c r="S28" s="7">
        <v>50</v>
      </c>
      <c r="T28" s="7">
        <v>22</v>
      </c>
      <c r="U28" s="7">
        <v>22</v>
      </c>
      <c r="V28" s="7">
        <v>473</v>
      </c>
      <c r="W28" s="7">
        <v>13.23</v>
      </c>
      <c r="X28" s="7">
        <v>50000</v>
      </c>
      <c r="Y28" s="7">
        <v>0</v>
      </c>
      <c r="Z28" s="7">
        <v>1</v>
      </c>
      <c r="AA28" s="7">
        <v>23.52</v>
      </c>
      <c r="AB28" s="7">
        <v>2975</v>
      </c>
      <c r="AC28" s="7">
        <v>878000</v>
      </c>
      <c r="AD28" s="7">
        <v>878000</v>
      </c>
      <c r="AE28" s="7">
        <v>606537.78</v>
      </c>
      <c r="AF28" s="7">
        <v>651</v>
      </c>
      <c r="AG28" s="7">
        <v>568</v>
      </c>
      <c r="AH28" s="12">
        <v>651</v>
      </c>
    </row>
    <row r="29" spans="1:34" ht="21" hidden="1" x14ac:dyDescent="0.25">
      <c r="A29" s="11">
        <v>4</v>
      </c>
      <c r="B29" s="8" t="s">
        <v>15</v>
      </c>
      <c r="C29" s="7">
        <v>977</v>
      </c>
      <c r="D29" s="8" t="s">
        <v>64</v>
      </c>
      <c r="E29" s="8" t="s">
        <v>11</v>
      </c>
      <c r="F29" s="8" t="s">
        <v>12</v>
      </c>
      <c r="G29" s="7">
        <v>150000</v>
      </c>
      <c r="H29" s="7">
        <v>104</v>
      </c>
      <c r="I29" s="7">
        <v>104</v>
      </c>
      <c r="J29" s="7">
        <v>167236.79999999999</v>
      </c>
      <c r="K29" s="7">
        <v>119376.049449</v>
      </c>
      <c r="L29" s="7">
        <v>0</v>
      </c>
      <c r="M29" s="7">
        <v>28.62</v>
      </c>
      <c r="N29" s="7">
        <v>23.38</v>
      </c>
      <c r="O29" s="7">
        <v>589256.66</v>
      </c>
      <c r="P29" s="7">
        <v>426378.094323</v>
      </c>
      <c r="Q29" s="7">
        <v>0</v>
      </c>
      <c r="R29" s="7">
        <v>27.64</v>
      </c>
      <c r="S29" s="7">
        <v>85</v>
      </c>
      <c r="T29" s="7">
        <v>22</v>
      </c>
      <c r="U29" s="7">
        <v>22</v>
      </c>
      <c r="V29" s="7">
        <v>858</v>
      </c>
      <c r="W29" s="7">
        <v>21.18</v>
      </c>
      <c r="X29" s="7">
        <v>150000</v>
      </c>
      <c r="Y29" s="7">
        <v>0</v>
      </c>
      <c r="Z29" s="7">
        <v>0</v>
      </c>
      <c r="AA29" s="7">
        <v>22.75</v>
      </c>
      <c r="AB29" s="7">
        <v>2975</v>
      </c>
      <c r="AC29" s="7">
        <v>755000</v>
      </c>
      <c r="AD29" s="7">
        <v>755000</v>
      </c>
      <c r="AE29" s="7">
        <v>615212.47</v>
      </c>
      <c r="AF29" s="7">
        <v>463</v>
      </c>
      <c r="AG29" s="7">
        <v>396</v>
      </c>
      <c r="AH29" s="12">
        <v>463</v>
      </c>
    </row>
    <row r="30" spans="1:34" ht="21" hidden="1" x14ac:dyDescent="0.25">
      <c r="A30" s="11">
        <v>6</v>
      </c>
      <c r="B30" s="8" t="s">
        <v>142</v>
      </c>
      <c r="C30" s="7">
        <v>983</v>
      </c>
      <c r="D30" s="8" t="s">
        <v>138</v>
      </c>
      <c r="E30" s="8" t="s">
        <v>11</v>
      </c>
      <c r="F30" s="8" t="s">
        <v>12</v>
      </c>
      <c r="G30" s="7">
        <v>104000</v>
      </c>
      <c r="H30" s="7">
        <v>106</v>
      </c>
      <c r="I30" s="7">
        <v>106</v>
      </c>
      <c r="J30" s="7">
        <v>11036.35</v>
      </c>
      <c r="K30" s="7">
        <v>8643.6675869999999</v>
      </c>
      <c r="L30" s="7">
        <v>0</v>
      </c>
      <c r="M30" s="7">
        <v>21.68</v>
      </c>
      <c r="N30" s="7">
        <v>22.97</v>
      </c>
      <c r="O30" s="7">
        <v>595843.36</v>
      </c>
      <c r="P30" s="7">
        <v>450944.50232500001</v>
      </c>
      <c r="Q30" s="7">
        <v>0</v>
      </c>
      <c r="R30" s="7">
        <v>24.32</v>
      </c>
      <c r="S30" s="7">
        <v>10</v>
      </c>
      <c r="T30" s="7">
        <v>22</v>
      </c>
      <c r="U30" s="7">
        <v>22</v>
      </c>
      <c r="V30" s="7">
        <v>125</v>
      </c>
      <c r="W30" s="7">
        <v>7.62</v>
      </c>
      <c r="X30" s="7">
        <v>104000</v>
      </c>
      <c r="Y30" s="7">
        <v>0</v>
      </c>
      <c r="Z30" s="7">
        <v>1</v>
      </c>
      <c r="AA30" s="7">
        <v>19.489999999999998</v>
      </c>
      <c r="AB30" s="7">
        <v>2975</v>
      </c>
      <c r="AC30" s="7">
        <v>1051000</v>
      </c>
      <c r="AD30" s="7">
        <v>1051000</v>
      </c>
      <c r="AE30" s="7">
        <v>798720.49</v>
      </c>
      <c r="AF30" s="7">
        <v>908</v>
      </c>
      <c r="AG30" s="7">
        <v>697</v>
      </c>
      <c r="AH30" s="12">
        <v>908</v>
      </c>
    </row>
    <row r="31" spans="1:34" ht="21" hidden="1" x14ac:dyDescent="0.25">
      <c r="A31" s="11">
        <v>5</v>
      </c>
      <c r="B31" s="8" t="s">
        <v>143</v>
      </c>
      <c r="C31" s="7">
        <v>1004</v>
      </c>
      <c r="D31" s="8" t="s">
        <v>65</v>
      </c>
      <c r="E31" s="8" t="s">
        <v>11</v>
      </c>
      <c r="F31" s="8" t="s">
        <v>12</v>
      </c>
      <c r="G31" s="7">
        <v>130000</v>
      </c>
      <c r="H31" s="7">
        <v>70</v>
      </c>
      <c r="I31" s="7">
        <v>70</v>
      </c>
      <c r="J31" s="7">
        <v>107791.53</v>
      </c>
      <c r="K31" s="7">
        <v>80238.154938000007</v>
      </c>
      <c r="L31" s="7">
        <v>0</v>
      </c>
      <c r="M31" s="7">
        <v>25.56</v>
      </c>
      <c r="N31" s="7">
        <v>34.96</v>
      </c>
      <c r="O31" s="7">
        <v>283650.64</v>
      </c>
      <c r="P31" s="7">
        <v>214409.30452199999</v>
      </c>
      <c r="Q31" s="7">
        <v>0</v>
      </c>
      <c r="R31" s="7">
        <v>24.41</v>
      </c>
      <c r="S31" s="7">
        <v>55</v>
      </c>
      <c r="T31" s="7">
        <v>22</v>
      </c>
      <c r="U31" s="7">
        <v>22</v>
      </c>
      <c r="V31" s="7">
        <v>430</v>
      </c>
      <c r="W31" s="7">
        <v>14.81</v>
      </c>
      <c r="X31" s="7">
        <v>130000</v>
      </c>
      <c r="Y31" s="7">
        <v>800.79</v>
      </c>
      <c r="Z31" s="7">
        <v>0</v>
      </c>
      <c r="AA31" s="7">
        <v>24.18</v>
      </c>
      <c r="AB31" s="7">
        <v>2975</v>
      </c>
      <c r="AC31" s="7">
        <v>570000</v>
      </c>
      <c r="AD31" s="7">
        <v>570000</v>
      </c>
      <c r="AE31" s="7">
        <v>257322.78</v>
      </c>
      <c r="AF31" s="7">
        <v>340</v>
      </c>
      <c r="AG31" s="7">
        <v>127</v>
      </c>
      <c r="AH31" s="12">
        <v>340</v>
      </c>
    </row>
    <row r="32" spans="1:34" ht="21" hidden="1" x14ac:dyDescent="0.25">
      <c r="A32" s="11">
        <v>26</v>
      </c>
      <c r="B32" s="8" t="s">
        <v>13</v>
      </c>
      <c r="C32" s="7">
        <v>1023</v>
      </c>
      <c r="D32" s="8" t="s">
        <v>66</v>
      </c>
      <c r="E32" s="8" t="s">
        <v>11</v>
      </c>
      <c r="F32" s="8" t="s">
        <v>12</v>
      </c>
      <c r="G32" s="7">
        <v>100000</v>
      </c>
      <c r="H32" s="7">
        <v>79</v>
      </c>
      <c r="I32" s="7">
        <v>79</v>
      </c>
      <c r="J32" s="7">
        <v>57113.62</v>
      </c>
      <c r="K32" s="7">
        <v>42228.009188000004</v>
      </c>
      <c r="L32" s="7">
        <v>0</v>
      </c>
      <c r="M32" s="7">
        <v>26.06</v>
      </c>
      <c r="N32" s="7">
        <v>19.96</v>
      </c>
      <c r="O32" s="7">
        <v>538753.56999999995</v>
      </c>
      <c r="P32" s="7">
        <v>415241.03464700002</v>
      </c>
      <c r="Q32" s="7">
        <v>0</v>
      </c>
      <c r="R32" s="7">
        <v>22.93</v>
      </c>
      <c r="S32" s="7">
        <v>49</v>
      </c>
      <c r="T32" s="7">
        <v>22</v>
      </c>
      <c r="U32" s="7">
        <v>22</v>
      </c>
      <c r="V32" s="7">
        <v>348</v>
      </c>
      <c r="W32" s="7">
        <v>10.130000000000001</v>
      </c>
      <c r="X32" s="7">
        <v>100000</v>
      </c>
      <c r="Y32" s="7">
        <v>9169.83</v>
      </c>
      <c r="Z32" s="7">
        <v>0</v>
      </c>
      <c r="AA32" s="7">
        <v>23.52</v>
      </c>
      <c r="AB32" s="7">
        <v>2975</v>
      </c>
      <c r="AC32" s="7">
        <v>878000</v>
      </c>
      <c r="AD32" s="7">
        <v>878000</v>
      </c>
      <c r="AE32" s="7">
        <v>606537.78</v>
      </c>
      <c r="AF32" s="7">
        <v>651</v>
      </c>
      <c r="AG32" s="7">
        <v>568</v>
      </c>
      <c r="AH32" s="12">
        <v>651</v>
      </c>
    </row>
    <row r="33" spans="1:34" ht="21" hidden="1" x14ac:dyDescent="0.25">
      <c r="A33" s="11">
        <v>12</v>
      </c>
      <c r="B33" s="8" t="s">
        <v>14</v>
      </c>
      <c r="C33" s="7">
        <v>1036</v>
      </c>
      <c r="D33" s="8" t="s">
        <v>45</v>
      </c>
      <c r="E33" s="8" t="s">
        <v>11</v>
      </c>
      <c r="F33" s="8" t="s">
        <v>12</v>
      </c>
      <c r="G33" s="7">
        <v>50000</v>
      </c>
      <c r="H33" s="7">
        <v>60</v>
      </c>
      <c r="I33" s="7">
        <v>60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230629.95</v>
      </c>
      <c r="P33" s="7">
        <v>175794.35781799999</v>
      </c>
      <c r="Q33" s="7">
        <v>0</v>
      </c>
      <c r="R33" s="7">
        <v>23.78</v>
      </c>
      <c r="S33" s="7">
        <v>0</v>
      </c>
      <c r="T33" s="7">
        <v>22</v>
      </c>
      <c r="U33" s="7">
        <v>22</v>
      </c>
      <c r="V33" s="7">
        <v>0</v>
      </c>
      <c r="W33" s="7">
        <v>0</v>
      </c>
      <c r="X33" s="7">
        <v>50000</v>
      </c>
      <c r="Y33" s="7">
        <v>0</v>
      </c>
      <c r="Z33" s="7">
        <v>0</v>
      </c>
      <c r="AA33" s="7">
        <v>28.96</v>
      </c>
      <c r="AB33" s="7">
        <v>2975</v>
      </c>
      <c r="AC33" s="7">
        <v>700000</v>
      </c>
      <c r="AD33" s="7">
        <v>700000</v>
      </c>
      <c r="AE33" s="7">
        <v>256957.81</v>
      </c>
      <c r="AF33" s="7">
        <v>785</v>
      </c>
      <c r="AG33" s="7">
        <v>326</v>
      </c>
      <c r="AH33" s="12">
        <v>785</v>
      </c>
    </row>
    <row r="34" spans="1:34" ht="21" hidden="1" x14ac:dyDescent="0.25">
      <c r="A34" s="11">
        <v>12</v>
      </c>
      <c r="B34" s="8" t="s">
        <v>14</v>
      </c>
      <c r="C34" s="7">
        <v>1068</v>
      </c>
      <c r="D34" s="8" t="s">
        <v>67</v>
      </c>
      <c r="E34" s="8" t="s">
        <v>11</v>
      </c>
      <c r="F34" s="8" t="s">
        <v>12</v>
      </c>
      <c r="G34" s="7">
        <v>70000</v>
      </c>
      <c r="H34" s="7">
        <v>65</v>
      </c>
      <c r="I34" s="7">
        <v>65</v>
      </c>
      <c r="J34" s="7">
        <v>46872.480000000003</v>
      </c>
      <c r="K34" s="7">
        <v>36668.124293000001</v>
      </c>
      <c r="L34" s="7">
        <v>0</v>
      </c>
      <c r="M34" s="7">
        <v>21.77</v>
      </c>
      <c r="N34" s="7">
        <v>18.440000000000001</v>
      </c>
      <c r="O34" s="7">
        <v>230629.95</v>
      </c>
      <c r="P34" s="7">
        <v>175794.35781799999</v>
      </c>
      <c r="Q34" s="7">
        <v>0</v>
      </c>
      <c r="R34" s="7">
        <v>23.78</v>
      </c>
      <c r="S34" s="7">
        <v>47</v>
      </c>
      <c r="T34" s="7">
        <v>22</v>
      </c>
      <c r="U34" s="7">
        <v>22</v>
      </c>
      <c r="V34" s="7">
        <v>354</v>
      </c>
      <c r="W34" s="7">
        <v>11.53</v>
      </c>
      <c r="X34" s="7">
        <v>70000</v>
      </c>
      <c r="Y34" s="7">
        <v>491.76</v>
      </c>
      <c r="Z34" s="7">
        <v>0</v>
      </c>
      <c r="AA34" s="7">
        <v>28.96</v>
      </c>
      <c r="AB34" s="7">
        <v>2975</v>
      </c>
      <c r="AC34" s="7">
        <v>700000</v>
      </c>
      <c r="AD34" s="7">
        <v>700000</v>
      </c>
      <c r="AE34" s="7">
        <v>256957.81</v>
      </c>
      <c r="AF34" s="7">
        <v>785</v>
      </c>
      <c r="AG34" s="7">
        <v>326</v>
      </c>
      <c r="AH34" s="12">
        <v>785</v>
      </c>
    </row>
    <row r="35" spans="1:34" ht="21" hidden="1" x14ac:dyDescent="0.25">
      <c r="A35" s="11">
        <v>5</v>
      </c>
      <c r="B35" s="8" t="s">
        <v>143</v>
      </c>
      <c r="C35" s="7">
        <v>1125</v>
      </c>
      <c r="D35" s="8" t="s">
        <v>42</v>
      </c>
      <c r="E35" s="8" t="s">
        <v>11</v>
      </c>
      <c r="F35" s="8" t="s">
        <v>12</v>
      </c>
      <c r="G35" s="7">
        <v>80000</v>
      </c>
      <c r="H35" s="7">
        <v>20</v>
      </c>
      <c r="I35" s="7">
        <v>20</v>
      </c>
      <c r="J35" s="7">
        <v>25174.62</v>
      </c>
      <c r="K35" s="7">
        <v>18692.194124000001</v>
      </c>
      <c r="L35" s="7">
        <v>0</v>
      </c>
      <c r="M35" s="7">
        <v>25.75</v>
      </c>
      <c r="N35" s="7">
        <v>33.799999999999997</v>
      </c>
      <c r="O35" s="7">
        <v>283650.64</v>
      </c>
      <c r="P35" s="7">
        <v>214409.30452199999</v>
      </c>
      <c r="Q35" s="7">
        <v>0</v>
      </c>
      <c r="R35" s="7">
        <v>24.41</v>
      </c>
      <c r="S35" s="7">
        <v>15</v>
      </c>
      <c r="T35" s="7">
        <v>22</v>
      </c>
      <c r="U35" s="7">
        <v>22</v>
      </c>
      <c r="V35" s="7">
        <v>18</v>
      </c>
      <c r="W35" s="7">
        <v>5</v>
      </c>
      <c r="X35" s="7">
        <v>80000</v>
      </c>
      <c r="Y35" s="7">
        <v>654</v>
      </c>
      <c r="Z35" s="7">
        <v>0</v>
      </c>
      <c r="AA35" s="7">
        <v>24.18</v>
      </c>
      <c r="AB35" s="7">
        <v>2975</v>
      </c>
      <c r="AC35" s="7">
        <v>570000</v>
      </c>
      <c r="AD35" s="7">
        <v>570000</v>
      </c>
      <c r="AE35" s="7">
        <v>257322.78</v>
      </c>
      <c r="AF35" s="7">
        <v>340</v>
      </c>
      <c r="AG35" s="7">
        <v>127</v>
      </c>
      <c r="AH35" s="12">
        <v>340</v>
      </c>
    </row>
    <row r="36" spans="1:34" ht="21" hidden="1" x14ac:dyDescent="0.25">
      <c r="A36" s="11">
        <v>20</v>
      </c>
      <c r="B36" s="8" t="s">
        <v>30</v>
      </c>
      <c r="C36" s="7">
        <v>1155</v>
      </c>
      <c r="D36" s="8" t="s">
        <v>119</v>
      </c>
      <c r="E36" s="8" t="s">
        <v>11</v>
      </c>
      <c r="F36" s="8" t="s">
        <v>12</v>
      </c>
      <c r="G36" s="7">
        <v>25000</v>
      </c>
      <c r="H36" s="7">
        <v>15</v>
      </c>
      <c r="I36" s="7">
        <v>15</v>
      </c>
      <c r="J36" s="7">
        <v>0</v>
      </c>
      <c r="K36" s="7">
        <v>320.87508300000002</v>
      </c>
      <c r="L36" s="7">
        <v>0</v>
      </c>
      <c r="M36" s="7">
        <v>0</v>
      </c>
      <c r="N36" s="7">
        <v>1</v>
      </c>
      <c r="O36" s="7">
        <v>357495.26</v>
      </c>
      <c r="P36" s="7">
        <v>269497.492899</v>
      </c>
      <c r="Q36" s="7">
        <v>0</v>
      </c>
      <c r="R36" s="7">
        <v>24.62</v>
      </c>
      <c r="S36" s="7">
        <v>0</v>
      </c>
      <c r="T36" s="7">
        <v>22</v>
      </c>
      <c r="U36" s="7">
        <v>22</v>
      </c>
      <c r="V36" s="7">
        <v>7</v>
      </c>
      <c r="W36" s="7">
        <v>1.4</v>
      </c>
      <c r="X36" s="7">
        <v>25000</v>
      </c>
      <c r="Y36" s="7">
        <v>0</v>
      </c>
      <c r="Z36" s="7">
        <v>0</v>
      </c>
      <c r="AA36" s="7">
        <v>32.26</v>
      </c>
      <c r="AB36" s="7">
        <v>2975</v>
      </c>
      <c r="AC36" s="7">
        <v>336000</v>
      </c>
      <c r="AD36" s="7">
        <v>336000</v>
      </c>
      <c r="AE36" s="7">
        <v>126500.95</v>
      </c>
      <c r="AF36" s="7">
        <v>285</v>
      </c>
      <c r="AG36" s="7">
        <v>122</v>
      </c>
      <c r="AH36" s="12">
        <v>285</v>
      </c>
    </row>
    <row r="37" spans="1:34" ht="21" hidden="1" x14ac:dyDescent="0.25">
      <c r="A37" s="11">
        <v>5</v>
      </c>
      <c r="B37" s="8" t="s">
        <v>143</v>
      </c>
      <c r="C37" s="7">
        <v>1158</v>
      </c>
      <c r="D37" s="8" t="s">
        <v>139</v>
      </c>
      <c r="E37" s="8" t="s">
        <v>11</v>
      </c>
      <c r="F37" s="8" t="s">
        <v>12</v>
      </c>
      <c r="G37" s="7">
        <v>80000</v>
      </c>
      <c r="H37" s="7">
        <v>80</v>
      </c>
      <c r="I37" s="7">
        <v>80</v>
      </c>
      <c r="J37" s="7">
        <v>0</v>
      </c>
      <c r="K37" s="7">
        <v>135.39870199999999</v>
      </c>
      <c r="L37" s="7">
        <v>0</v>
      </c>
      <c r="M37" s="7">
        <v>0</v>
      </c>
      <c r="N37" s="7">
        <v>1</v>
      </c>
      <c r="O37" s="7">
        <v>283650.64</v>
      </c>
      <c r="P37" s="7">
        <v>214409.30452199999</v>
      </c>
      <c r="Q37" s="7">
        <v>0</v>
      </c>
      <c r="R37" s="7">
        <v>24.41</v>
      </c>
      <c r="S37" s="7">
        <v>0</v>
      </c>
      <c r="T37" s="7">
        <v>22</v>
      </c>
      <c r="U37" s="7">
        <v>22</v>
      </c>
      <c r="V37" s="7">
        <v>9</v>
      </c>
      <c r="W37" s="7">
        <v>1.8</v>
      </c>
      <c r="X37" s="7">
        <v>80000</v>
      </c>
      <c r="Y37" s="7">
        <v>0</v>
      </c>
      <c r="Z37" s="7">
        <v>0</v>
      </c>
      <c r="AA37" s="7">
        <v>24.18</v>
      </c>
      <c r="AB37" s="7">
        <v>2975</v>
      </c>
      <c r="AC37" s="7">
        <v>570000</v>
      </c>
      <c r="AD37" s="7">
        <v>570000</v>
      </c>
      <c r="AE37" s="7">
        <v>257322.78</v>
      </c>
      <c r="AF37" s="7">
        <v>340</v>
      </c>
      <c r="AG37" s="7">
        <v>127</v>
      </c>
      <c r="AH37" s="12">
        <v>340</v>
      </c>
    </row>
    <row r="38" spans="1:34" ht="21" hidden="1" x14ac:dyDescent="0.25">
      <c r="A38" s="11">
        <v>6</v>
      </c>
      <c r="B38" s="8" t="s">
        <v>142</v>
      </c>
      <c r="C38" s="7">
        <v>1171</v>
      </c>
      <c r="D38" s="8" t="s">
        <v>68</v>
      </c>
      <c r="E38" s="8" t="s">
        <v>11</v>
      </c>
      <c r="F38" s="8" t="s">
        <v>12</v>
      </c>
      <c r="G38" s="7">
        <v>69000</v>
      </c>
      <c r="H38" s="7">
        <v>62</v>
      </c>
      <c r="I38" s="7">
        <v>62</v>
      </c>
      <c r="J38" s="7">
        <v>124640.89</v>
      </c>
      <c r="K38" s="7">
        <v>94618.619430999999</v>
      </c>
      <c r="L38" s="7">
        <v>0</v>
      </c>
      <c r="M38" s="7">
        <v>24.09</v>
      </c>
      <c r="N38" s="7">
        <v>23.87</v>
      </c>
      <c r="O38" s="7">
        <v>595843.36</v>
      </c>
      <c r="P38" s="7">
        <v>450944.50232500001</v>
      </c>
      <c r="Q38" s="7">
        <v>0</v>
      </c>
      <c r="R38" s="7">
        <v>24.32</v>
      </c>
      <c r="S38" s="7">
        <v>62</v>
      </c>
      <c r="T38" s="7">
        <v>22</v>
      </c>
      <c r="U38" s="7">
        <v>22</v>
      </c>
      <c r="V38" s="7">
        <v>764</v>
      </c>
      <c r="W38" s="7">
        <v>23.06</v>
      </c>
      <c r="X38" s="7">
        <v>69000</v>
      </c>
      <c r="Y38" s="7">
        <v>0</v>
      </c>
      <c r="Z38" s="7">
        <v>0</v>
      </c>
      <c r="AA38" s="7">
        <v>19.489999999999998</v>
      </c>
      <c r="AB38" s="7">
        <v>2975</v>
      </c>
      <c r="AC38" s="7">
        <v>1051000</v>
      </c>
      <c r="AD38" s="7">
        <v>1051000</v>
      </c>
      <c r="AE38" s="7">
        <v>798720.49</v>
      </c>
      <c r="AF38" s="7">
        <v>908</v>
      </c>
      <c r="AG38" s="7">
        <v>697</v>
      </c>
      <c r="AH38" s="12">
        <v>908</v>
      </c>
    </row>
    <row r="39" spans="1:34" ht="21" hidden="1" x14ac:dyDescent="0.25">
      <c r="A39" s="11">
        <v>6</v>
      </c>
      <c r="B39" s="8" t="s">
        <v>142</v>
      </c>
      <c r="C39" s="7">
        <v>1237</v>
      </c>
      <c r="D39" s="8" t="s">
        <v>69</v>
      </c>
      <c r="E39" s="8" t="s">
        <v>11</v>
      </c>
      <c r="F39" s="8" t="s">
        <v>12</v>
      </c>
      <c r="G39" s="7">
        <v>84000</v>
      </c>
      <c r="H39" s="7">
        <v>76</v>
      </c>
      <c r="I39" s="7">
        <v>76</v>
      </c>
      <c r="J39" s="7">
        <v>30526.799999999999</v>
      </c>
      <c r="K39" s="7">
        <v>23021.159904</v>
      </c>
      <c r="L39" s="7">
        <v>0</v>
      </c>
      <c r="M39" s="7">
        <v>24.59</v>
      </c>
      <c r="N39" s="7">
        <v>21.43</v>
      </c>
      <c r="O39" s="7">
        <v>595843.36</v>
      </c>
      <c r="P39" s="7">
        <v>450944.50232500001</v>
      </c>
      <c r="Q39" s="7">
        <v>0</v>
      </c>
      <c r="R39" s="7">
        <v>24.32</v>
      </c>
      <c r="S39" s="7">
        <v>40</v>
      </c>
      <c r="T39" s="7">
        <v>22</v>
      </c>
      <c r="U39" s="7">
        <v>22</v>
      </c>
      <c r="V39" s="7">
        <v>190</v>
      </c>
      <c r="W39" s="7">
        <v>8.8000000000000007</v>
      </c>
      <c r="X39" s="7">
        <v>84000</v>
      </c>
      <c r="Y39" s="7">
        <v>8024.35</v>
      </c>
      <c r="Z39" s="7">
        <v>0</v>
      </c>
      <c r="AA39" s="7">
        <v>19.489999999999998</v>
      </c>
      <c r="AB39" s="7">
        <v>2975</v>
      </c>
      <c r="AC39" s="7">
        <v>1051000</v>
      </c>
      <c r="AD39" s="7">
        <v>1051000</v>
      </c>
      <c r="AE39" s="7">
        <v>798720.49</v>
      </c>
      <c r="AF39" s="7">
        <v>908</v>
      </c>
      <c r="AG39" s="7">
        <v>697</v>
      </c>
      <c r="AH39" s="12">
        <v>908</v>
      </c>
    </row>
    <row r="40" spans="1:34" ht="21" hidden="1" x14ac:dyDescent="0.25">
      <c r="A40" s="11">
        <v>26</v>
      </c>
      <c r="B40" s="8" t="s">
        <v>13</v>
      </c>
      <c r="C40" s="7">
        <v>1238</v>
      </c>
      <c r="D40" s="8" t="s">
        <v>70</v>
      </c>
      <c r="E40" s="8" t="s">
        <v>11</v>
      </c>
      <c r="F40" s="8" t="s">
        <v>12</v>
      </c>
      <c r="G40" s="7">
        <v>60000</v>
      </c>
      <c r="H40" s="7">
        <v>13</v>
      </c>
      <c r="I40" s="7">
        <v>13</v>
      </c>
      <c r="J40" s="7">
        <v>807.67</v>
      </c>
      <c r="K40" s="7">
        <v>667.04085999999995</v>
      </c>
      <c r="L40" s="7">
        <v>0</v>
      </c>
      <c r="M40" s="7">
        <v>17.41</v>
      </c>
      <c r="N40" s="7">
        <v>10.78</v>
      </c>
      <c r="O40" s="7">
        <v>538753.56999999995</v>
      </c>
      <c r="P40" s="7">
        <v>415241.03464700002</v>
      </c>
      <c r="Q40" s="7">
        <v>0</v>
      </c>
      <c r="R40" s="7">
        <v>22.93</v>
      </c>
      <c r="S40" s="7">
        <v>2</v>
      </c>
      <c r="T40" s="7">
        <v>22</v>
      </c>
      <c r="U40" s="7">
        <v>22</v>
      </c>
      <c r="V40" s="7">
        <v>2</v>
      </c>
      <c r="W40" s="7">
        <v>1</v>
      </c>
      <c r="X40" s="7">
        <v>60000</v>
      </c>
      <c r="Y40" s="7">
        <v>61</v>
      </c>
      <c r="Z40" s="7">
        <v>0</v>
      </c>
      <c r="AA40" s="7">
        <v>23.52</v>
      </c>
      <c r="AB40" s="7">
        <v>2975</v>
      </c>
      <c r="AC40" s="7">
        <v>878000</v>
      </c>
      <c r="AD40" s="7">
        <v>878000</v>
      </c>
      <c r="AE40" s="7">
        <v>606537.78</v>
      </c>
      <c r="AF40" s="7">
        <v>651</v>
      </c>
      <c r="AG40" s="7">
        <v>568</v>
      </c>
      <c r="AH40" s="12">
        <v>651</v>
      </c>
    </row>
    <row r="41" spans="1:34" ht="21" hidden="1" x14ac:dyDescent="0.25">
      <c r="A41" s="11">
        <v>6</v>
      </c>
      <c r="B41" s="8" t="s">
        <v>142</v>
      </c>
      <c r="C41" s="7">
        <v>1241</v>
      </c>
      <c r="D41" s="8" t="s">
        <v>54</v>
      </c>
      <c r="E41" s="8" t="s">
        <v>11</v>
      </c>
      <c r="F41" s="8" t="s">
        <v>12</v>
      </c>
      <c r="G41" s="7">
        <v>90000</v>
      </c>
      <c r="H41" s="7">
        <v>80</v>
      </c>
      <c r="I41" s="7">
        <v>80</v>
      </c>
      <c r="J41" s="7">
        <v>66158.7</v>
      </c>
      <c r="K41" s="7">
        <v>49143.687480000001</v>
      </c>
      <c r="L41" s="7">
        <v>0</v>
      </c>
      <c r="M41" s="7">
        <v>25.72</v>
      </c>
      <c r="N41" s="7">
        <v>22.06</v>
      </c>
      <c r="O41" s="7">
        <v>595843.36</v>
      </c>
      <c r="P41" s="7">
        <v>450944.50232500001</v>
      </c>
      <c r="Q41" s="7">
        <v>0</v>
      </c>
      <c r="R41" s="7">
        <v>24.32</v>
      </c>
      <c r="S41" s="7">
        <v>58</v>
      </c>
      <c r="T41" s="7">
        <v>22</v>
      </c>
      <c r="U41" s="7">
        <v>22</v>
      </c>
      <c r="V41" s="7">
        <v>570</v>
      </c>
      <c r="W41" s="7">
        <v>15.16</v>
      </c>
      <c r="X41" s="7">
        <v>90000</v>
      </c>
      <c r="Y41" s="7">
        <v>659.72</v>
      </c>
      <c r="Z41" s="7">
        <v>0</v>
      </c>
      <c r="AA41" s="7">
        <v>19.489999999999998</v>
      </c>
      <c r="AB41" s="7">
        <v>2975</v>
      </c>
      <c r="AC41" s="7">
        <v>1051000</v>
      </c>
      <c r="AD41" s="7">
        <v>1051000</v>
      </c>
      <c r="AE41" s="7">
        <v>798720.49</v>
      </c>
      <c r="AF41" s="7">
        <v>908</v>
      </c>
      <c r="AG41" s="7">
        <v>697</v>
      </c>
      <c r="AH41" s="12">
        <v>908</v>
      </c>
    </row>
    <row r="42" spans="1:34" ht="21" hidden="1" x14ac:dyDescent="0.25">
      <c r="A42" s="11">
        <v>26</v>
      </c>
      <c r="B42" s="8" t="s">
        <v>13</v>
      </c>
      <c r="C42" s="7">
        <v>1265</v>
      </c>
      <c r="D42" s="8" t="s">
        <v>71</v>
      </c>
      <c r="E42" s="8" t="s">
        <v>11</v>
      </c>
      <c r="F42" s="8" t="s">
        <v>12</v>
      </c>
      <c r="G42" s="7">
        <v>110000</v>
      </c>
      <c r="H42" s="7">
        <v>89</v>
      </c>
      <c r="I42" s="7">
        <v>89</v>
      </c>
      <c r="J42" s="7">
        <v>88838.73</v>
      </c>
      <c r="K42" s="7">
        <v>69667.062393</v>
      </c>
      <c r="L42" s="7">
        <v>0</v>
      </c>
      <c r="M42" s="7">
        <v>21.58</v>
      </c>
      <c r="N42" s="7">
        <v>21.58</v>
      </c>
      <c r="O42" s="7">
        <v>538753.56999999995</v>
      </c>
      <c r="P42" s="7">
        <v>415241.03464700002</v>
      </c>
      <c r="Q42" s="7">
        <v>0</v>
      </c>
      <c r="R42" s="7">
        <v>22.93</v>
      </c>
      <c r="S42" s="7">
        <v>89</v>
      </c>
      <c r="T42" s="7">
        <v>22</v>
      </c>
      <c r="U42" s="7">
        <v>22</v>
      </c>
      <c r="V42" s="7">
        <v>279</v>
      </c>
      <c r="W42" s="7">
        <v>6.08</v>
      </c>
      <c r="X42" s="7">
        <v>110000</v>
      </c>
      <c r="Y42" s="7">
        <v>4102.76</v>
      </c>
      <c r="Z42" s="7">
        <v>0</v>
      </c>
      <c r="AA42" s="7">
        <v>23.52</v>
      </c>
      <c r="AB42" s="7">
        <v>2975</v>
      </c>
      <c r="AC42" s="7">
        <v>878000</v>
      </c>
      <c r="AD42" s="7">
        <v>878000</v>
      </c>
      <c r="AE42" s="7">
        <v>606537.78</v>
      </c>
      <c r="AF42" s="7">
        <v>651</v>
      </c>
      <c r="AG42" s="7">
        <v>568</v>
      </c>
      <c r="AH42" s="12">
        <v>651</v>
      </c>
    </row>
    <row r="43" spans="1:34" ht="21" hidden="1" x14ac:dyDescent="0.25">
      <c r="A43" s="11">
        <v>10</v>
      </c>
      <c r="B43" s="8" t="s">
        <v>180</v>
      </c>
      <c r="C43" s="7">
        <v>1271</v>
      </c>
      <c r="D43" s="8" t="s">
        <v>72</v>
      </c>
      <c r="E43" s="8" t="s">
        <v>11</v>
      </c>
      <c r="F43" s="8" t="s">
        <v>12</v>
      </c>
      <c r="G43" s="7">
        <v>90000</v>
      </c>
      <c r="H43" s="7">
        <v>70</v>
      </c>
      <c r="I43" s="7">
        <v>70</v>
      </c>
      <c r="J43" s="7">
        <v>66423.44</v>
      </c>
      <c r="K43" s="7">
        <v>49494.046521999997</v>
      </c>
      <c r="L43" s="7">
        <v>0</v>
      </c>
      <c r="M43" s="7">
        <v>25.49</v>
      </c>
      <c r="N43" s="7">
        <v>13.91</v>
      </c>
      <c r="O43" s="7">
        <v>675229.49</v>
      </c>
      <c r="P43" s="7">
        <v>507872.78409500001</v>
      </c>
      <c r="Q43" s="7">
        <v>0</v>
      </c>
      <c r="R43" s="7">
        <v>24.79</v>
      </c>
      <c r="S43" s="7">
        <v>70</v>
      </c>
      <c r="T43" s="7">
        <v>22</v>
      </c>
      <c r="U43" s="7">
        <v>22</v>
      </c>
      <c r="V43" s="7">
        <v>507</v>
      </c>
      <c r="W43" s="7">
        <v>11.05</v>
      </c>
      <c r="X43" s="7">
        <v>90000</v>
      </c>
      <c r="Y43" s="7">
        <v>1192.5999999999999</v>
      </c>
      <c r="Z43" s="7">
        <v>3</v>
      </c>
      <c r="AA43" s="7">
        <v>19.760000000000002</v>
      </c>
      <c r="AB43" s="7">
        <v>2975</v>
      </c>
      <c r="AC43" s="7">
        <v>678000</v>
      </c>
      <c r="AD43" s="7">
        <v>678000</v>
      </c>
      <c r="AE43" s="7">
        <v>478225.19</v>
      </c>
      <c r="AF43" s="7">
        <v>493</v>
      </c>
      <c r="AG43" s="7">
        <v>464</v>
      </c>
      <c r="AH43" s="12">
        <v>493</v>
      </c>
    </row>
    <row r="44" spans="1:34" hidden="1" x14ac:dyDescent="0.25">
      <c r="A44" s="11">
        <v>2</v>
      </c>
      <c r="B44" s="8" t="s">
        <v>10</v>
      </c>
      <c r="C44" s="7">
        <v>1280</v>
      </c>
      <c r="D44" s="8" t="s">
        <v>73</v>
      </c>
      <c r="E44" s="8" t="s">
        <v>11</v>
      </c>
      <c r="F44" s="8" t="s">
        <v>12</v>
      </c>
      <c r="G44" s="7">
        <v>90000</v>
      </c>
      <c r="H44" s="7">
        <v>60</v>
      </c>
      <c r="I44" s="7">
        <v>60</v>
      </c>
      <c r="J44" s="7">
        <v>91740.72</v>
      </c>
      <c r="K44" s="7">
        <v>65888.760626999996</v>
      </c>
      <c r="L44" s="7">
        <v>0</v>
      </c>
      <c r="M44" s="7">
        <v>28.18</v>
      </c>
      <c r="N44" s="7">
        <v>19.72</v>
      </c>
      <c r="O44" s="7">
        <v>985449.1</v>
      </c>
      <c r="P44" s="7">
        <v>729210.20780199999</v>
      </c>
      <c r="Q44" s="7">
        <v>0</v>
      </c>
      <c r="R44" s="7">
        <v>26</v>
      </c>
      <c r="S44" s="7">
        <v>48</v>
      </c>
      <c r="T44" s="7">
        <v>22</v>
      </c>
      <c r="U44" s="7">
        <v>22</v>
      </c>
      <c r="V44" s="7">
        <v>707</v>
      </c>
      <c r="W44" s="7">
        <v>19.03</v>
      </c>
      <c r="X44" s="7">
        <v>90000</v>
      </c>
      <c r="Y44" s="7">
        <v>540.83000000000004</v>
      </c>
      <c r="Z44" s="7">
        <v>0</v>
      </c>
      <c r="AA44" s="7">
        <v>20.39</v>
      </c>
      <c r="AB44" s="7">
        <v>2975</v>
      </c>
      <c r="AC44" s="7">
        <v>1336000</v>
      </c>
      <c r="AD44" s="7">
        <v>1336000</v>
      </c>
      <c r="AE44" s="7">
        <v>1067042.8500000001</v>
      </c>
      <c r="AF44" s="7">
        <v>862</v>
      </c>
      <c r="AG44" s="7">
        <v>676</v>
      </c>
      <c r="AH44" s="12">
        <v>862</v>
      </c>
    </row>
    <row r="45" spans="1:34" ht="21" hidden="1" x14ac:dyDescent="0.25">
      <c r="A45" s="11">
        <v>17</v>
      </c>
      <c r="B45" s="8" t="s">
        <v>16</v>
      </c>
      <c r="C45" s="7">
        <v>1292</v>
      </c>
      <c r="D45" s="8" t="s">
        <v>74</v>
      </c>
      <c r="E45" s="8" t="s">
        <v>11</v>
      </c>
      <c r="F45" s="8" t="s">
        <v>12</v>
      </c>
      <c r="G45" s="7">
        <v>98000</v>
      </c>
      <c r="H45" s="7">
        <v>54</v>
      </c>
      <c r="I45" s="7">
        <v>54</v>
      </c>
      <c r="J45" s="7">
        <v>70473.149999999994</v>
      </c>
      <c r="K45" s="7">
        <v>48093.948924999997</v>
      </c>
      <c r="L45" s="7">
        <v>0</v>
      </c>
      <c r="M45" s="7">
        <v>31.76</v>
      </c>
      <c r="N45" s="7">
        <v>23.41</v>
      </c>
      <c r="O45" s="7">
        <v>278601.65000000002</v>
      </c>
      <c r="P45" s="7">
        <v>197998.658257</v>
      </c>
      <c r="Q45" s="7">
        <v>0</v>
      </c>
      <c r="R45" s="7">
        <v>28.93</v>
      </c>
      <c r="S45" s="7">
        <v>34</v>
      </c>
      <c r="T45" s="7">
        <v>22</v>
      </c>
      <c r="U45" s="7">
        <v>22</v>
      </c>
      <c r="V45" s="7">
        <v>388</v>
      </c>
      <c r="W45" s="7">
        <v>17.239999999999998</v>
      </c>
      <c r="X45" s="7">
        <v>98000</v>
      </c>
      <c r="Y45" s="7">
        <v>1723.86</v>
      </c>
      <c r="Z45" s="7">
        <v>1</v>
      </c>
      <c r="AA45" s="7">
        <v>23.78</v>
      </c>
      <c r="AB45" s="7">
        <v>2975</v>
      </c>
      <c r="AC45" s="7">
        <v>580000</v>
      </c>
      <c r="AD45" s="7">
        <v>580000</v>
      </c>
      <c r="AE45" s="7">
        <v>278601.65000000002</v>
      </c>
      <c r="AF45" s="7">
        <v>300</v>
      </c>
      <c r="AG45" s="7">
        <v>135</v>
      </c>
      <c r="AH45" s="12">
        <v>300</v>
      </c>
    </row>
    <row r="46" spans="1:34" ht="21" hidden="1" x14ac:dyDescent="0.25">
      <c r="A46" s="11">
        <v>12</v>
      </c>
      <c r="B46" s="8" t="s">
        <v>14</v>
      </c>
      <c r="C46" s="7">
        <v>1330</v>
      </c>
      <c r="D46" s="8" t="s">
        <v>45</v>
      </c>
      <c r="E46" s="8" t="s">
        <v>11</v>
      </c>
      <c r="F46" s="8" t="s">
        <v>12</v>
      </c>
      <c r="G46" s="7">
        <v>60000</v>
      </c>
      <c r="H46" s="7">
        <v>70</v>
      </c>
      <c r="I46" s="7">
        <v>70</v>
      </c>
      <c r="J46" s="7">
        <v>26371.4</v>
      </c>
      <c r="K46" s="7">
        <v>20347.567677999999</v>
      </c>
      <c r="L46" s="7">
        <v>0</v>
      </c>
      <c r="M46" s="7">
        <v>22.84</v>
      </c>
      <c r="N46" s="7">
        <v>11.37</v>
      </c>
      <c r="O46" s="7">
        <v>230629.95</v>
      </c>
      <c r="P46" s="7">
        <v>175794.35781799999</v>
      </c>
      <c r="Q46" s="7">
        <v>0</v>
      </c>
      <c r="R46" s="7">
        <v>23.78</v>
      </c>
      <c r="S46" s="7">
        <v>39</v>
      </c>
      <c r="T46" s="7">
        <v>22</v>
      </c>
      <c r="U46" s="7">
        <v>22</v>
      </c>
      <c r="V46" s="7">
        <v>180</v>
      </c>
      <c r="W46" s="7">
        <v>8.24</v>
      </c>
      <c r="X46" s="7">
        <v>60000</v>
      </c>
      <c r="Y46" s="7">
        <v>730.29</v>
      </c>
      <c r="Z46" s="7">
        <v>0</v>
      </c>
      <c r="AA46" s="7">
        <v>28.96</v>
      </c>
      <c r="AB46" s="7">
        <v>2975</v>
      </c>
      <c r="AC46" s="7">
        <v>700000</v>
      </c>
      <c r="AD46" s="7">
        <v>700000</v>
      </c>
      <c r="AE46" s="7">
        <v>256957.81</v>
      </c>
      <c r="AF46" s="7">
        <v>785</v>
      </c>
      <c r="AG46" s="7">
        <v>326</v>
      </c>
      <c r="AH46" s="12">
        <v>785</v>
      </c>
    </row>
    <row r="47" spans="1:34" ht="21" hidden="1" x14ac:dyDescent="0.25">
      <c r="A47" s="11">
        <v>26</v>
      </c>
      <c r="B47" s="8" t="s">
        <v>13</v>
      </c>
      <c r="C47" s="7">
        <v>1336</v>
      </c>
      <c r="D47" s="8" t="s">
        <v>75</v>
      </c>
      <c r="E47" s="8" t="s">
        <v>11</v>
      </c>
      <c r="F47" s="8" t="s">
        <v>12</v>
      </c>
      <c r="G47" s="7">
        <v>55000</v>
      </c>
      <c r="H47" s="7">
        <v>57</v>
      </c>
      <c r="I47" s="7">
        <v>57</v>
      </c>
      <c r="J47" s="7">
        <v>35594.42</v>
      </c>
      <c r="K47" s="7">
        <v>26850.893230000001</v>
      </c>
      <c r="L47" s="7">
        <v>0</v>
      </c>
      <c r="M47" s="7">
        <v>24.56</v>
      </c>
      <c r="N47" s="7">
        <v>11.31</v>
      </c>
      <c r="O47" s="7">
        <v>538753.56999999995</v>
      </c>
      <c r="P47" s="7">
        <v>415241.03464700002</v>
      </c>
      <c r="Q47" s="7">
        <v>0</v>
      </c>
      <c r="R47" s="7">
        <v>22.93</v>
      </c>
      <c r="S47" s="7">
        <v>57</v>
      </c>
      <c r="T47" s="7">
        <v>22</v>
      </c>
      <c r="U47" s="7">
        <v>22</v>
      </c>
      <c r="V47" s="7">
        <v>293</v>
      </c>
      <c r="W47" s="7">
        <v>11.44</v>
      </c>
      <c r="X47" s="7">
        <v>55000</v>
      </c>
      <c r="Y47" s="7">
        <v>1280.6199999999999</v>
      </c>
      <c r="Z47" s="7">
        <v>0</v>
      </c>
      <c r="AA47" s="7">
        <v>23.52</v>
      </c>
      <c r="AB47" s="7">
        <v>2975</v>
      </c>
      <c r="AC47" s="7">
        <v>878000</v>
      </c>
      <c r="AD47" s="7">
        <v>878000</v>
      </c>
      <c r="AE47" s="7">
        <v>606537.78</v>
      </c>
      <c r="AF47" s="7">
        <v>651</v>
      </c>
      <c r="AG47" s="7">
        <v>568</v>
      </c>
      <c r="AH47" s="12">
        <v>651</v>
      </c>
    </row>
    <row r="48" spans="1:34" ht="21" hidden="1" x14ac:dyDescent="0.25">
      <c r="A48" s="11">
        <v>17</v>
      </c>
      <c r="B48" s="8" t="s">
        <v>16</v>
      </c>
      <c r="C48" s="7">
        <v>1343</v>
      </c>
      <c r="D48" s="8" t="s">
        <v>76</v>
      </c>
      <c r="E48" s="8" t="s">
        <v>11</v>
      </c>
      <c r="F48" s="8" t="s">
        <v>12</v>
      </c>
      <c r="G48" s="7">
        <v>42000</v>
      </c>
      <c r="H48" s="7">
        <v>1</v>
      </c>
      <c r="I48" s="7">
        <v>1</v>
      </c>
      <c r="J48" s="7">
        <v>31006.83</v>
      </c>
      <c r="K48" s="7">
        <v>21050.765452</v>
      </c>
      <c r="L48" s="7">
        <v>0</v>
      </c>
      <c r="M48" s="7">
        <v>32.11</v>
      </c>
      <c r="N48" s="7">
        <v>31.2</v>
      </c>
      <c r="O48" s="7">
        <v>278601.65000000002</v>
      </c>
      <c r="P48" s="7">
        <v>197998.658257</v>
      </c>
      <c r="Q48" s="7">
        <v>0</v>
      </c>
      <c r="R48" s="7">
        <v>28.93</v>
      </c>
      <c r="S48" s="7">
        <v>2</v>
      </c>
      <c r="T48" s="7">
        <v>22</v>
      </c>
      <c r="U48" s="7">
        <v>22</v>
      </c>
      <c r="V48" s="7">
        <v>373</v>
      </c>
      <c r="W48" s="7">
        <v>35.549999999999997</v>
      </c>
      <c r="X48" s="7">
        <v>42000</v>
      </c>
      <c r="Y48" s="7">
        <v>0</v>
      </c>
      <c r="Z48" s="7">
        <v>0</v>
      </c>
      <c r="AA48" s="7">
        <v>23.78</v>
      </c>
      <c r="AB48" s="7">
        <v>2975</v>
      </c>
      <c r="AC48" s="7">
        <v>580000</v>
      </c>
      <c r="AD48" s="7">
        <v>580000</v>
      </c>
      <c r="AE48" s="7">
        <v>278601.65000000002</v>
      </c>
      <c r="AF48" s="7">
        <v>300</v>
      </c>
      <c r="AG48" s="7">
        <v>135</v>
      </c>
      <c r="AH48" s="12">
        <v>300</v>
      </c>
    </row>
    <row r="49" spans="1:34" ht="21" hidden="1" x14ac:dyDescent="0.25">
      <c r="A49" s="11">
        <v>10</v>
      </c>
      <c r="B49" s="8" t="s">
        <v>180</v>
      </c>
      <c r="C49" s="7">
        <v>1359</v>
      </c>
      <c r="D49" s="8" t="s">
        <v>77</v>
      </c>
      <c r="E49" s="8" t="s">
        <v>11</v>
      </c>
      <c r="F49" s="8" t="s">
        <v>12</v>
      </c>
      <c r="G49" s="7">
        <v>80000</v>
      </c>
      <c r="H49" s="7">
        <v>50</v>
      </c>
      <c r="I49" s="7">
        <v>50</v>
      </c>
      <c r="J49" s="7">
        <v>80732.070000000007</v>
      </c>
      <c r="K49" s="7">
        <v>60974.538980999998</v>
      </c>
      <c r="L49" s="7">
        <v>0</v>
      </c>
      <c r="M49" s="7">
        <v>24.47</v>
      </c>
      <c r="N49" s="7">
        <v>23.9</v>
      </c>
      <c r="O49" s="7">
        <v>675229.49</v>
      </c>
      <c r="P49" s="7">
        <v>507872.78409500001</v>
      </c>
      <c r="Q49" s="7">
        <v>0</v>
      </c>
      <c r="R49" s="7">
        <v>24.79</v>
      </c>
      <c r="S49" s="7">
        <v>52</v>
      </c>
      <c r="T49" s="7">
        <v>22</v>
      </c>
      <c r="U49" s="7">
        <v>22</v>
      </c>
      <c r="V49" s="7">
        <v>383</v>
      </c>
      <c r="W49" s="7">
        <v>13.71</v>
      </c>
      <c r="X49" s="7">
        <v>80000</v>
      </c>
      <c r="Y49" s="7">
        <v>18.93</v>
      </c>
      <c r="Z49" s="7">
        <v>0</v>
      </c>
      <c r="AA49" s="7">
        <v>19.760000000000002</v>
      </c>
      <c r="AB49" s="7">
        <v>2975</v>
      </c>
      <c r="AC49" s="7">
        <v>678000</v>
      </c>
      <c r="AD49" s="7">
        <v>678000</v>
      </c>
      <c r="AE49" s="7">
        <v>478225.19</v>
      </c>
      <c r="AF49" s="7">
        <v>493</v>
      </c>
      <c r="AG49" s="7">
        <v>464</v>
      </c>
      <c r="AH49" s="12">
        <v>493</v>
      </c>
    </row>
    <row r="50" spans="1:34" ht="21" hidden="1" x14ac:dyDescent="0.25">
      <c r="A50" s="11">
        <v>6</v>
      </c>
      <c r="B50" s="8" t="s">
        <v>142</v>
      </c>
      <c r="C50" s="7">
        <v>1385</v>
      </c>
      <c r="D50" s="8" t="s">
        <v>78</v>
      </c>
      <c r="E50" s="8" t="s">
        <v>11</v>
      </c>
      <c r="F50" s="8" t="s">
        <v>12</v>
      </c>
      <c r="G50" s="7">
        <v>78000</v>
      </c>
      <c r="H50" s="7">
        <v>77</v>
      </c>
      <c r="I50" s="7">
        <v>77</v>
      </c>
      <c r="J50" s="7">
        <v>91121.23</v>
      </c>
      <c r="K50" s="7">
        <v>68709.164663000003</v>
      </c>
      <c r="L50" s="7">
        <v>0</v>
      </c>
      <c r="M50" s="7">
        <v>24.6</v>
      </c>
      <c r="N50" s="7">
        <v>18.89</v>
      </c>
      <c r="O50" s="7">
        <v>595843.36</v>
      </c>
      <c r="P50" s="7">
        <v>450944.50232500001</v>
      </c>
      <c r="Q50" s="7">
        <v>0</v>
      </c>
      <c r="R50" s="7">
        <v>24.32</v>
      </c>
      <c r="S50" s="7">
        <v>82</v>
      </c>
      <c r="T50" s="7">
        <v>22</v>
      </c>
      <c r="U50" s="7">
        <v>22</v>
      </c>
      <c r="V50" s="7">
        <v>604</v>
      </c>
      <c r="W50" s="7">
        <v>16.059999999999999</v>
      </c>
      <c r="X50" s="7">
        <v>78000</v>
      </c>
      <c r="Y50" s="7">
        <v>571.47</v>
      </c>
      <c r="Z50" s="7">
        <v>1</v>
      </c>
      <c r="AA50" s="7">
        <v>19.489999999999998</v>
      </c>
      <c r="AB50" s="7">
        <v>2975</v>
      </c>
      <c r="AC50" s="7">
        <v>1051000</v>
      </c>
      <c r="AD50" s="7">
        <v>1051000</v>
      </c>
      <c r="AE50" s="7">
        <v>798720.49</v>
      </c>
      <c r="AF50" s="7">
        <v>908</v>
      </c>
      <c r="AG50" s="7">
        <v>697</v>
      </c>
      <c r="AH50" s="12">
        <v>908</v>
      </c>
    </row>
    <row r="51" spans="1:34" ht="21" hidden="1" x14ac:dyDescent="0.25">
      <c r="A51" s="11">
        <v>20</v>
      </c>
      <c r="B51" s="8" t="s">
        <v>30</v>
      </c>
      <c r="C51" s="7">
        <v>1387</v>
      </c>
      <c r="D51" s="8" t="s">
        <v>79</v>
      </c>
      <c r="E51" s="8" t="s">
        <v>11</v>
      </c>
      <c r="F51" s="8" t="s">
        <v>12</v>
      </c>
      <c r="G51" s="7">
        <v>60000</v>
      </c>
      <c r="H51" s="7">
        <v>45</v>
      </c>
      <c r="I51" s="7">
        <v>45</v>
      </c>
      <c r="J51" s="7">
        <v>25697.1</v>
      </c>
      <c r="K51" s="7">
        <v>20327.383991999999</v>
      </c>
      <c r="L51" s="7">
        <v>0</v>
      </c>
      <c r="M51" s="7">
        <v>20.9</v>
      </c>
      <c r="N51" s="7">
        <v>48.57</v>
      </c>
      <c r="O51" s="7">
        <v>357495.26</v>
      </c>
      <c r="P51" s="7">
        <v>269497.492899</v>
      </c>
      <c r="Q51" s="7">
        <v>0</v>
      </c>
      <c r="R51" s="7">
        <v>24.62</v>
      </c>
      <c r="S51" s="7">
        <v>15</v>
      </c>
      <c r="T51" s="7">
        <v>22</v>
      </c>
      <c r="U51" s="7">
        <v>22</v>
      </c>
      <c r="V51" s="7">
        <v>76</v>
      </c>
      <c r="W51" s="7">
        <v>4.9000000000000004</v>
      </c>
      <c r="X51" s="7">
        <v>60000</v>
      </c>
      <c r="Y51" s="7">
        <v>3815.49</v>
      </c>
      <c r="Z51" s="7">
        <v>0</v>
      </c>
      <c r="AA51" s="7">
        <v>32.26</v>
      </c>
      <c r="AB51" s="7">
        <v>2975</v>
      </c>
      <c r="AC51" s="7">
        <v>336000</v>
      </c>
      <c r="AD51" s="7">
        <v>336000</v>
      </c>
      <c r="AE51" s="7">
        <v>126500.95</v>
      </c>
      <c r="AF51" s="7">
        <v>285</v>
      </c>
      <c r="AG51" s="7">
        <v>122</v>
      </c>
      <c r="AH51" s="12">
        <v>285</v>
      </c>
    </row>
    <row r="52" spans="1:34" ht="21" hidden="1" x14ac:dyDescent="0.25">
      <c r="A52" s="11">
        <v>12</v>
      </c>
      <c r="B52" s="8" t="s">
        <v>14</v>
      </c>
      <c r="C52" s="7">
        <v>1390</v>
      </c>
      <c r="D52" s="8" t="s">
        <v>80</v>
      </c>
      <c r="E52" s="8" t="s">
        <v>11</v>
      </c>
      <c r="F52" s="8" t="s">
        <v>12</v>
      </c>
      <c r="G52" s="7">
        <v>60000</v>
      </c>
      <c r="H52" s="7">
        <v>60</v>
      </c>
      <c r="I52" s="7">
        <v>60</v>
      </c>
      <c r="J52" s="7">
        <v>30131.66</v>
      </c>
      <c r="K52" s="7">
        <v>22236.663293000001</v>
      </c>
      <c r="L52" s="7">
        <v>0</v>
      </c>
      <c r="M52" s="7">
        <v>26.2</v>
      </c>
      <c r="N52" s="7">
        <v>15.6</v>
      </c>
      <c r="O52" s="7">
        <v>230629.95</v>
      </c>
      <c r="P52" s="7">
        <v>175794.35781799999</v>
      </c>
      <c r="Q52" s="7">
        <v>0</v>
      </c>
      <c r="R52" s="7">
        <v>23.78</v>
      </c>
      <c r="S52" s="7">
        <v>44</v>
      </c>
      <c r="T52" s="7">
        <v>22</v>
      </c>
      <c r="U52" s="7">
        <v>22</v>
      </c>
      <c r="V52" s="7">
        <v>261</v>
      </c>
      <c r="W52" s="7">
        <v>11.45</v>
      </c>
      <c r="X52" s="7">
        <v>60000</v>
      </c>
      <c r="Y52" s="7">
        <v>169.88</v>
      </c>
      <c r="Z52" s="7">
        <v>1</v>
      </c>
      <c r="AA52" s="7">
        <v>28.96</v>
      </c>
      <c r="AB52" s="7">
        <v>2975</v>
      </c>
      <c r="AC52" s="7">
        <v>700000</v>
      </c>
      <c r="AD52" s="7">
        <v>700000</v>
      </c>
      <c r="AE52" s="7">
        <v>256957.81</v>
      </c>
      <c r="AF52" s="7">
        <v>785</v>
      </c>
      <c r="AG52" s="7">
        <v>326</v>
      </c>
      <c r="AH52" s="12">
        <v>785</v>
      </c>
    </row>
    <row r="53" spans="1:34" ht="21" hidden="1" x14ac:dyDescent="0.25">
      <c r="A53" s="11">
        <v>26</v>
      </c>
      <c r="B53" s="8" t="s">
        <v>13</v>
      </c>
      <c r="C53" s="7">
        <v>1394</v>
      </c>
      <c r="D53" s="8" t="s">
        <v>81</v>
      </c>
      <c r="E53" s="8" t="s">
        <v>11</v>
      </c>
      <c r="F53" s="8" t="s">
        <v>12</v>
      </c>
      <c r="G53" s="7">
        <v>52000</v>
      </c>
      <c r="H53" s="7">
        <v>64</v>
      </c>
      <c r="I53" s="7">
        <v>64</v>
      </c>
      <c r="J53" s="7">
        <v>52354.78</v>
      </c>
      <c r="K53" s="7">
        <v>40053.425326999997</v>
      </c>
      <c r="L53" s="7">
        <v>0</v>
      </c>
      <c r="M53" s="7">
        <v>23.5</v>
      </c>
      <c r="N53" s="7">
        <v>22.68</v>
      </c>
      <c r="O53" s="7">
        <v>538753.56999999995</v>
      </c>
      <c r="P53" s="7">
        <v>415241.03464700002</v>
      </c>
      <c r="Q53" s="7">
        <v>0</v>
      </c>
      <c r="R53" s="7">
        <v>22.93</v>
      </c>
      <c r="S53" s="7">
        <v>65</v>
      </c>
      <c r="T53" s="7">
        <v>22</v>
      </c>
      <c r="U53" s="7">
        <v>22</v>
      </c>
      <c r="V53" s="7">
        <v>317</v>
      </c>
      <c r="W53" s="7">
        <v>7.55</v>
      </c>
      <c r="X53" s="7">
        <v>52000</v>
      </c>
      <c r="Y53" s="7">
        <v>59.48</v>
      </c>
      <c r="Z53" s="7">
        <v>1</v>
      </c>
      <c r="AA53" s="7">
        <v>23.52</v>
      </c>
      <c r="AB53" s="7">
        <v>2975</v>
      </c>
      <c r="AC53" s="7">
        <v>878000</v>
      </c>
      <c r="AD53" s="7">
        <v>878000</v>
      </c>
      <c r="AE53" s="7">
        <v>606537.78</v>
      </c>
      <c r="AF53" s="7">
        <v>651</v>
      </c>
      <c r="AG53" s="7">
        <v>568</v>
      </c>
      <c r="AH53" s="12">
        <v>651</v>
      </c>
    </row>
    <row r="54" spans="1:34" ht="21" hidden="1" x14ac:dyDescent="0.25">
      <c r="A54" s="11">
        <v>17</v>
      </c>
      <c r="B54" s="8" t="s">
        <v>16</v>
      </c>
      <c r="C54" s="7">
        <v>1400</v>
      </c>
      <c r="D54" s="8" t="s">
        <v>157</v>
      </c>
      <c r="E54" s="8" t="s">
        <v>11</v>
      </c>
      <c r="F54" s="8" t="s">
        <v>12</v>
      </c>
      <c r="G54" s="7">
        <v>0</v>
      </c>
      <c r="H54" s="7">
        <v>0</v>
      </c>
      <c r="I54" s="7">
        <v>0</v>
      </c>
      <c r="J54" s="7">
        <v>15116.99</v>
      </c>
      <c r="K54" s="7">
        <v>10833.041085999999</v>
      </c>
      <c r="L54" s="7">
        <v>0</v>
      </c>
      <c r="M54" s="7">
        <v>28.34</v>
      </c>
      <c r="N54" s="7">
        <v>23.8</v>
      </c>
      <c r="O54" s="7">
        <v>278601.65000000002</v>
      </c>
      <c r="P54" s="7">
        <v>197998.658257</v>
      </c>
      <c r="Q54" s="7">
        <v>0</v>
      </c>
      <c r="R54" s="7">
        <v>28.93</v>
      </c>
      <c r="S54" s="7">
        <v>14</v>
      </c>
      <c r="T54" s="7">
        <v>22</v>
      </c>
      <c r="U54" s="7">
        <v>22</v>
      </c>
      <c r="V54" s="7">
        <v>168</v>
      </c>
      <c r="W54" s="7">
        <v>15.86</v>
      </c>
      <c r="X54" s="7">
        <v>0</v>
      </c>
      <c r="Y54" s="7">
        <v>0</v>
      </c>
      <c r="Z54" s="7">
        <v>0</v>
      </c>
      <c r="AA54" s="7">
        <v>23.78</v>
      </c>
      <c r="AB54" s="7">
        <v>2975</v>
      </c>
      <c r="AC54" s="7">
        <v>580000</v>
      </c>
      <c r="AD54" s="7">
        <v>580000</v>
      </c>
      <c r="AE54" s="7">
        <v>278601.65000000002</v>
      </c>
      <c r="AF54" s="7">
        <v>300</v>
      </c>
      <c r="AG54" s="7">
        <v>135</v>
      </c>
      <c r="AH54" s="12">
        <v>300</v>
      </c>
    </row>
    <row r="55" spans="1:34" ht="21" hidden="1" x14ac:dyDescent="0.25">
      <c r="A55" s="11">
        <v>12</v>
      </c>
      <c r="B55" s="8" t="s">
        <v>14</v>
      </c>
      <c r="C55" s="7">
        <v>1402</v>
      </c>
      <c r="D55" s="8" t="s">
        <v>82</v>
      </c>
      <c r="E55" s="8" t="s">
        <v>11</v>
      </c>
      <c r="F55" s="8" t="s">
        <v>12</v>
      </c>
      <c r="G55" s="7">
        <v>52000</v>
      </c>
      <c r="H55" s="7">
        <v>60</v>
      </c>
      <c r="I55" s="7">
        <v>60</v>
      </c>
      <c r="J55" s="7">
        <v>35491.96</v>
      </c>
      <c r="K55" s="7">
        <v>26149.860999</v>
      </c>
      <c r="L55" s="7">
        <v>0</v>
      </c>
      <c r="M55" s="7">
        <v>26.32</v>
      </c>
      <c r="N55" s="7">
        <v>19.510000000000002</v>
      </c>
      <c r="O55" s="7">
        <v>230629.95</v>
      </c>
      <c r="P55" s="7">
        <v>175794.35781799999</v>
      </c>
      <c r="Q55" s="7">
        <v>0</v>
      </c>
      <c r="R55" s="7">
        <v>23.78</v>
      </c>
      <c r="S55" s="7">
        <v>38</v>
      </c>
      <c r="T55" s="7">
        <v>22</v>
      </c>
      <c r="U55" s="7">
        <v>22</v>
      </c>
      <c r="V55" s="7">
        <v>172</v>
      </c>
      <c r="W55" s="7">
        <v>5.94</v>
      </c>
      <c r="X55" s="7">
        <v>52000</v>
      </c>
      <c r="Y55" s="7">
        <v>1790.78</v>
      </c>
      <c r="Z55" s="7">
        <v>0</v>
      </c>
      <c r="AA55" s="7">
        <v>28.96</v>
      </c>
      <c r="AB55" s="7">
        <v>2975</v>
      </c>
      <c r="AC55" s="7">
        <v>700000</v>
      </c>
      <c r="AD55" s="7">
        <v>700000</v>
      </c>
      <c r="AE55" s="7">
        <v>256957.81</v>
      </c>
      <c r="AF55" s="7">
        <v>785</v>
      </c>
      <c r="AG55" s="7">
        <v>326</v>
      </c>
      <c r="AH55" s="12">
        <v>785</v>
      </c>
    </row>
    <row r="56" spans="1:34" ht="31.5" hidden="1" x14ac:dyDescent="0.25">
      <c r="A56" s="11">
        <v>14</v>
      </c>
      <c r="B56" s="8" t="s">
        <v>31</v>
      </c>
      <c r="C56" s="7">
        <v>1413</v>
      </c>
      <c r="D56" s="8" t="s">
        <v>83</v>
      </c>
      <c r="E56" s="8" t="s">
        <v>11</v>
      </c>
      <c r="F56" s="8" t="s">
        <v>12</v>
      </c>
      <c r="G56" s="7">
        <v>20000</v>
      </c>
      <c r="H56" s="7">
        <v>15</v>
      </c>
      <c r="I56" s="7">
        <v>15</v>
      </c>
      <c r="J56" s="7">
        <v>1504.28</v>
      </c>
      <c r="K56" s="7">
        <v>1581.8794829999999</v>
      </c>
      <c r="L56" s="7">
        <v>0</v>
      </c>
      <c r="M56" s="7">
        <v>-5.16</v>
      </c>
      <c r="N56" s="7">
        <v>26.94</v>
      </c>
      <c r="O56" s="7">
        <v>104076.27</v>
      </c>
      <c r="P56" s="7">
        <v>75025.615919999997</v>
      </c>
      <c r="Q56" s="7">
        <v>0</v>
      </c>
      <c r="R56" s="7">
        <v>27.91</v>
      </c>
      <c r="S56" s="7">
        <v>1</v>
      </c>
      <c r="T56" s="7">
        <v>22</v>
      </c>
      <c r="U56" s="7">
        <v>22</v>
      </c>
      <c r="V56" s="7">
        <v>18</v>
      </c>
      <c r="W56" s="7">
        <v>2.5</v>
      </c>
      <c r="X56" s="7">
        <v>20000</v>
      </c>
      <c r="Y56" s="7">
        <v>0</v>
      </c>
      <c r="Z56" s="7">
        <v>0</v>
      </c>
      <c r="AA56" s="7">
        <v>37.590000000000003</v>
      </c>
      <c r="AB56" s="7">
        <v>2975</v>
      </c>
      <c r="AC56" s="7">
        <v>135000</v>
      </c>
      <c r="AD56" s="7">
        <v>135000</v>
      </c>
      <c r="AE56" s="7">
        <v>78120.460000000006</v>
      </c>
      <c r="AF56" s="7">
        <v>120</v>
      </c>
      <c r="AG56" s="7">
        <v>60</v>
      </c>
      <c r="AH56" s="12">
        <v>120</v>
      </c>
    </row>
    <row r="57" spans="1:34" ht="21" hidden="1" x14ac:dyDescent="0.25">
      <c r="A57" s="11">
        <v>20</v>
      </c>
      <c r="B57" s="8" t="s">
        <v>30</v>
      </c>
      <c r="C57" s="7">
        <v>1420</v>
      </c>
      <c r="D57" s="8" t="s">
        <v>84</v>
      </c>
      <c r="E57" s="8" t="s">
        <v>11</v>
      </c>
      <c r="F57" s="8" t="s">
        <v>12</v>
      </c>
      <c r="G57" s="7">
        <v>45000</v>
      </c>
      <c r="H57" s="7">
        <v>40</v>
      </c>
      <c r="I57" s="7">
        <v>40</v>
      </c>
      <c r="J57" s="7">
        <v>15832.55</v>
      </c>
      <c r="K57" s="7">
        <v>11744.380139000001</v>
      </c>
      <c r="L57" s="7">
        <v>0</v>
      </c>
      <c r="M57" s="7">
        <v>25.82</v>
      </c>
      <c r="N57" s="7">
        <v>34.42</v>
      </c>
      <c r="O57" s="7">
        <v>357495.26</v>
      </c>
      <c r="P57" s="7">
        <v>269497.492899</v>
      </c>
      <c r="Q57" s="7">
        <v>0</v>
      </c>
      <c r="R57" s="7">
        <v>24.62</v>
      </c>
      <c r="S57" s="7">
        <v>22</v>
      </c>
      <c r="T57" s="7">
        <v>22</v>
      </c>
      <c r="U57" s="7">
        <v>22</v>
      </c>
      <c r="V57" s="7">
        <v>122</v>
      </c>
      <c r="W57" s="7">
        <v>7</v>
      </c>
      <c r="X57" s="7">
        <v>45000</v>
      </c>
      <c r="Y57" s="7">
        <v>572.79999999999995</v>
      </c>
      <c r="Z57" s="7">
        <v>0</v>
      </c>
      <c r="AA57" s="7">
        <v>32.26</v>
      </c>
      <c r="AB57" s="7">
        <v>2975</v>
      </c>
      <c r="AC57" s="7">
        <v>336000</v>
      </c>
      <c r="AD57" s="7">
        <v>336000</v>
      </c>
      <c r="AE57" s="7">
        <v>126500.95</v>
      </c>
      <c r="AF57" s="7">
        <v>285</v>
      </c>
      <c r="AG57" s="7">
        <v>122</v>
      </c>
      <c r="AH57" s="12">
        <v>285</v>
      </c>
    </row>
    <row r="58" spans="1:34" ht="21" hidden="1" x14ac:dyDescent="0.25">
      <c r="A58" s="11">
        <v>17</v>
      </c>
      <c r="B58" s="8" t="s">
        <v>16</v>
      </c>
      <c r="C58" s="7">
        <v>1431</v>
      </c>
      <c r="D58" s="8" t="s">
        <v>49</v>
      </c>
      <c r="E58" s="8" t="s">
        <v>11</v>
      </c>
      <c r="F58" s="8" t="s">
        <v>12</v>
      </c>
      <c r="G58" s="7">
        <v>165000</v>
      </c>
      <c r="H58" s="7">
        <v>106</v>
      </c>
      <c r="I58" s="7">
        <v>106</v>
      </c>
      <c r="J58" s="7">
        <v>6531.84</v>
      </c>
      <c r="K58" s="7">
        <v>5197.3166879999999</v>
      </c>
      <c r="L58" s="7">
        <v>0</v>
      </c>
      <c r="M58" s="7">
        <v>20.43</v>
      </c>
      <c r="N58" s="7">
        <v>24.5</v>
      </c>
      <c r="O58" s="7">
        <v>278601.65000000002</v>
      </c>
      <c r="P58" s="7">
        <v>197998.658257</v>
      </c>
      <c r="Q58" s="7">
        <v>0</v>
      </c>
      <c r="R58" s="7">
        <v>28.93</v>
      </c>
      <c r="S58" s="7">
        <v>3</v>
      </c>
      <c r="T58" s="7">
        <v>22</v>
      </c>
      <c r="U58" s="7">
        <v>22</v>
      </c>
      <c r="V58" s="7">
        <v>37</v>
      </c>
      <c r="W58" s="7">
        <v>6.17</v>
      </c>
      <c r="X58" s="7">
        <v>165000</v>
      </c>
      <c r="Y58" s="7">
        <v>0</v>
      </c>
      <c r="Z58" s="7">
        <v>0</v>
      </c>
      <c r="AA58" s="7">
        <v>23.78</v>
      </c>
      <c r="AB58" s="7">
        <v>2975</v>
      </c>
      <c r="AC58" s="7">
        <v>580000</v>
      </c>
      <c r="AD58" s="7">
        <v>580000</v>
      </c>
      <c r="AE58" s="7">
        <v>278601.65000000002</v>
      </c>
      <c r="AF58" s="7">
        <v>300</v>
      </c>
      <c r="AG58" s="7">
        <v>135</v>
      </c>
      <c r="AH58" s="12">
        <v>300</v>
      </c>
    </row>
    <row r="59" spans="1:34" ht="21" hidden="1" x14ac:dyDescent="0.25">
      <c r="A59" s="11">
        <v>12</v>
      </c>
      <c r="B59" s="8" t="s">
        <v>14</v>
      </c>
      <c r="C59" s="7">
        <v>1434</v>
      </c>
      <c r="D59" s="8" t="s">
        <v>158</v>
      </c>
      <c r="E59" s="8" t="s">
        <v>11</v>
      </c>
      <c r="F59" s="8" t="s">
        <v>12</v>
      </c>
      <c r="G59" s="7">
        <v>0</v>
      </c>
      <c r="H59" s="7">
        <v>0</v>
      </c>
      <c r="I59" s="7">
        <v>0</v>
      </c>
      <c r="J59" s="7">
        <v>151.97999999999999</v>
      </c>
      <c r="K59" s="7">
        <v>113.7606</v>
      </c>
      <c r="L59" s="7">
        <v>0</v>
      </c>
      <c r="M59" s="7">
        <v>25.15</v>
      </c>
      <c r="N59" s="7">
        <v>1</v>
      </c>
      <c r="O59" s="7">
        <v>230629.95</v>
      </c>
      <c r="P59" s="7">
        <v>175794.35781799999</v>
      </c>
      <c r="Q59" s="7">
        <v>0</v>
      </c>
      <c r="R59" s="7">
        <v>23.78</v>
      </c>
      <c r="S59" s="7">
        <v>1</v>
      </c>
      <c r="T59" s="7">
        <v>22</v>
      </c>
      <c r="U59" s="7">
        <v>22</v>
      </c>
      <c r="V59" s="7">
        <v>1</v>
      </c>
      <c r="W59" s="7">
        <v>1</v>
      </c>
      <c r="X59" s="7">
        <v>0</v>
      </c>
      <c r="Y59" s="7">
        <v>0</v>
      </c>
      <c r="Z59" s="7">
        <v>0</v>
      </c>
      <c r="AA59" s="7">
        <v>28.96</v>
      </c>
      <c r="AB59" s="7">
        <v>2975</v>
      </c>
      <c r="AC59" s="7">
        <v>700000</v>
      </c>
      <c r="AD59" s="7">
        <v>700000</v>
      </c>
      <c r="AE59" s="7">
        <v>256957.81</v>
      </c>
      <c r="AF59" s="7">
        <v>785</v>
      </c>
      <c r="AG59" s="7">
        <v>326</v>
      </c>
      <c r="AH59" s="12">
        <v>785</v>
      </c>
    </row>
    <row r="60" spans="1:34" ht="21" hidden="1" x14ac:dyDescent="0.25">
      <c r="A60" s="11">
        <v>17</v>
      </c>
      <c r="B60" s="8" t="s">
        <v>16</v>
      </c>
      <c r="C60" s="7">
        <v>1437</v>
      </c>
      <c r="D60" s="8" t="s">
        <v>85</v>
      </c>
      <c r="E60" s="8" t="s">
        <v>11</v>
      </c>
      <c r="F60" s="8" t="s">
        <v>12</v>
      </c>
      <c r="G60" s="7">
        <v>95000</v>
      </c>
      <c r="H60" s="7">
        <v>52</v>
      </c>
      <c r="I60" s="7">
        <v>52</v>
      </c>
      <c r="J60" s="7">
        <v>33146.870000000003</v>
      </c>
      <c r="K60" s="7">
        <v>25510.460276000002</v>
      </c>
      <c r="L60" s="7">
        <v>0</v>
      </c>
      <c r="M60" s="7">
        <v>23.04</v>
      </c>
      <c r="N60" s="7">
        <v>26.72</v>
      </c>
      <c r="O60" s="7">
        <v>278601.65000000002</v>
      </c>
      <c r="P60" s="7">
        <v>197998.658257</v>
      </c>
      <c r="Q60" s="7">
        <v>0</v>
      </c>
      <c r="R60" s="7">
        <v>28.93</v>
      </c>
      <c r="S60" s="7">
        <v>17</v>
      </c>
      <c r="T60" s="7">
        <v>22</v>
      </c>
      <c r="U60" s="7">
        <v>22</v>
      </c>
      <c r="V60" s="7">
        <v>147</v>
      </c>
      <c r="W60" s="7">
        <v>11.92</v>
      </c>
      <c r="X60" s="7">
        <v>95000</v>
      </c>
      <c r="Y60" s="7">
        <v>364.96</v>
      </c>
      <c r="Z60" s="7">
        <v>0</v>
      </c>
      <c r="AA60" s="7">
        <v>23.78</v>
      </c>
      <c r="AB60" s="7">
        <v>2975</v>
      </c>
      <c r="AC60" s="7">
        <v>580000</v>
      </c>
      <c r="AD60" s="7">
        <v>580000</v>
      </c>
      <c r="AE60" s="7">
        <v>278601.65000000002</v>
      </c>
      <c r="AF60" s="7">
        <v>300</v>
      </c>
      <c r="AG60" s="7">
        <v>135</v>
      </c>
      <c r="AH60" s="12">
        <v>300</v>
      </c>
    </row>
    <row r="61" spans="1:34" ht="21" hidden="1" x14ac:dyDescent="0.25">
      <c r="A61" s="11">
        <v>10</v>
      </c>
      <c r="B61" s="8" t="s">
        <v>180</v>
      </c>
      <c r="C61" s="7">
        <v>1450</v>
      </c>
      <c r="D61" s="8" t="s">
        <v>86</v>
      </c>
      <c r="E61" s="8" t="s">
        <v>11</v>
      </c>
      <c r="F61" s="8" t="s">
        <v>12</v>
      </c>
      <c r="G61" s="7">
        <v>85000</v>
      </c>
      <c r="H61" s="7">
        <v>65</v>
      </c>
      <c r="I61" s="7">
        <v>65</v>
      </c>
      <c r="J61" s="7">
        <v>78257.41</v>
      </c>
      <c r="K61" s="7">
        <v>59187.777225999998</v>
      </c>
      <c r="L61" s="7">
        <v>0</v>
      </c>
      <c r="M61" s="7">
        <v>24.37</v>
      </c>
      <c r="N61" s="7">
        <v>23.37</v>
      </c>
      <c r="O61" s="7">
        <v>675229.49</v>
      </c>
      <c r="P61" s="7">
        <v>507872.78409500001</v>
      </c>
      <c r="Q61" s="7">
        <v>0</v>
      </c>
      <c r="R61" s="7">
        <v>24.79</v>
      </c>
      <c r="S61" s="7">
        <v>70</v>
      </c>
      <c r="T61" s="7">
        <v>22</v>
      </c>
      <c r="U61" s="7">
        <v>22</v>
      </c>
      <c r="V61" s="7">
        <v>629</v>
      </c>
      <c r="W61" s="7">
        <v>19.100000000000001</v>
      </c>
      <c r="X61" s="7">
        <v>85000</v>
      </c>
      <c r="Y61" s="7">
        <v>203.11</v>
      </c>
      <c r="Z61" s="7">
        <v>0</v>
      </c>
      <c r="AA61" s="7">
        <v>19.760000000000002</v>
      </c>
      <c r="AB61" s="7">
        <v>2975</v>
      </c>
      <c r="AC61" s="7">
        <v>678000</v>
      </c>
      <c r="AD61" s="7">
        <v>678000</v>
      </c>
      <c r="AE61" s="7">
        <v>478225.19</v>
      </c>
      <c r="AF61" s="7">
        <v>493</v>
      </c>
      <c r="AG61" s="7">
        <v>464</v>
      </c>
      <c r="AH61" s="12">
        <v>493</v>
      </c>
    </row>
    <row r="62" spans="1:34" hidden="1" x14ac:dyDescent="0.25">
      <c r="A62" s="11">
        <v>2</v>
      </c>
      <c r="B62" s="8" t="s">
        <v>10</v>
      </c>
      <c r="C62" s="7">
        <v>1457</v>
      </c>
      <c r="D62" s="8" t="s">
        <v>42</v>
      </c>
      <c r="E62" s="8" t="s">
        <v>11</v>
      </c>
      <c r="F62" s="8" t="s">
        <v>12</v>
      </c>
      <c r="G62" s="7">
        <v>90000</v>
      </c>
      <c r="H62" s="7">
        <v>69</v>
      </c>
      <c r="I62" s="7">
        <v>69</v>
      </c>
      <c r="J62" s="7">
        <v>90889.33</v>
      </c>
      <c r="K62" s="7">
        <v>67845.138833999998</v>
      </c>
      <c r="L62" s="7">
        <v>0</v>
      </c>
      <c r="M62" s="7">
        <v>25.35</v>
      </c>
      <c r="N62" s="7">
        <v>24.51</v>
      </c>
      <c r="O62" s="7">
        <v>985449.1</v>
      </c>
      <c r="P62" s="7">
        <v>729210.20780199999</v>
      </c>
      <c r="Q62" s="7">
        <v>0</v>
      </c>
      <c r="R62" s="7">
        <v>26</v>
      </c>
      <c r="S62" s="7">
        <v>71</v>
      </c>
      <c r="T62" s="7">
        <v>22</v>
      </c>
      <c r="U62" s="7">
        <v>22</v>
      </c>
      <c r="V62" s="7">
        <v>467</v>
      </c>
      <c r="W62" s="7">
        <v>13.66</v>
      </c>
      <c r="X62" s="7">
        <v>90000</v>
      </c>
      <c r="Y62" s="7">
        <v>22.1</v>
      </c>
      <c r="Z62" s="7">
        <v>0</v>
      </c>
      <c r="AA62" s="7">
        <v>20.39</v>
      </c>
      <c r="AB62" s="7">
        <v>2975</v>
      </c>
      <c r="AC62" s="7">
        <v>1336000</v>
      </c>
      <c r="AD62" s="7">
        <v>1336000</v>
      </c>
      <c r="AE62" s="7">
        <v>1067042.8500000001</v>
      </c>
      <c r="AF62" s="7">
        <v>862</v>
      </c>
      <c r="AG62" s="7">
        <v>676</v>
      </c>
      <c r="AH62" s="12">
        <v>862</v>
      </c>
    </row>
    <row r="63" spans="1:34" ht="21" hidden="1" x14ac:dyDescent="0.25">
      <c r="A63" s="11">
        <v>6</v>
      </c>
      <c r="B63" s="8" t="s">
        <v>142</v>
      </c>
      <c r="C63" s="7">
        <v>1466</v>
      </c>
      <c r="D63" s="8" t="s">
        <v>87</v>
      </c>
      <c r="E63" s="8" t="s">
        <v>11</v>
      </c>
      <c r="F63" s="8" t="s">
        <v>12</v>
      </c>
      <c r="G63" s="7">
        <v>55000</v>
      </c>
      <c r="H63" s="7">
        <v>48</v>
      </c>
      <c r="I63" s="7">
        <v>48</v>
      </c>
      <c r="J63" s="7">
        <v>64223.48</v>
      </c>
      <c r="K63" s="7">
        <v>49713.625747999999</v>
      </c>
      <c r="L63" s="7">
        <v>0</v>
      </c>
      <c r="M63" s="7">
        <v>22.59</v>
      </c>
      <c r="N63" s="7">
        <v>16.48</v>
      </c>
      <c r="O63" s="7">
        <v>595843.36</v>
      </c>
      <c r="P63" s="7">
        <v>450944.50232500001</v>
      </c>
      <c r="Q63" s="7">
        <v>0</v>
      </c>
      <c r="R63" s="7">
        <v>24.32</v>
      </c>
      <c r="S63" s="7">
        <v>49</v>
      </c>
      <c r="T63" s="7">
        <v>22</v>
      </c>
      <c r="U63" s="7">
        <v>22</v>
      </c>
      <c r="V63" s="7">
        <v>504</v>
      </c>
      <c r="W63" s="7">
        <v>16.27</v>
      </c>
      <c r="X63" s="7">
        <v>55000</v>
      </c>
      <c r="Y63" s="7">
        <v>259.48</v>
      </c>
      <c r="Z63" s="7">
        <v>0</v>
      </c>
      <c r="AA63" s="7">
        <v>19.489999999999998</v>
      </c>
      <c r="AB63" s="7">
        <v>2975</v>
      </c>
      <c r="AC63" s="7">
        <v>1051000</v>
      </c>
      <c r="AD63" s="7">
        <v>1051000</v>
      </c>
      <c r="AE63" s="7">
        <v>798720.49</v>
      </c>
      <c r="AF63" s="7">
        <v>908</v>
      </c>
      <c r="AG63" s="7">
        <v>697</v>
      </c>
      <c r="AH63" s="12">
        <v>908</v>
      </c>
    </row>
    <row r="64" spans="1:34" ht="21" hidden="1" x14ac:dyDescent="0.25">
      <c r="A64" s="11">
        <v>4</v>
      </c>
      <c r="B64" s="8" t="s">
        <v>15</v>
      </c>
      <c r="C64" s="7">
        <v>1473</v>
      </c>
      <c r="D64" s="8" t="s">
        <v>88</v>
      </c>
      <c r="E64" s="8" t="s">
        <v>11</v>
      </c>
      <c r="F64" s="8" t="s">
        <v>12</v>
      </c>
      <c r="G64" s="7">
        <v>120000</v>
      </c>
      <c r="H64" s="7">
        <v>80</v>
      </c>
      <c r="I64" s="7">
        <v>80</v>
      </c>
      <c r="J64" s="7">
        <v>83422.84</v>
      </c>
      <c r="K64" s="7">
        <v>61245.710252999997</v>
      </c>
      <c r="L64" s="7">
        <v>0</v>
      </c>
      <c r="M64" s="7">
        <v>26.58</v>
      </c>
      <c r="N64" s="7">
        <v>24.75</v>
      </c>
      <c r="O64" s="7">
        <v>589256.66</v>
      </c>
      <c r="P64" s="7">
        <v>426378.094323</v>
      </c>
      <c r="Q64" s="7">
        <v>0</v>
      </c>
      <c r="R64" s="7">
        <v>27.64</v>
      </c>
      <c r="S64" s="7">
        <v>49</v>
      </c>
      <c r="T64" s="7">
        <v>22</v>
      </c>
      <c r="U64" s="7">
        <v>22</v>
      </c>
      <c r="V64" s="7">
        <v>461</v>
      </c>
      <c r="W64" s="7">
        <v>15.78</v>
      </c>
      <c r="X64" s="7">
        <v>120000</v>
      </c>
      <c r="Y64" s="7">
        <v>211.11</v>
      </c>
      <c r="Z64" s="7">
        <v>2</v>
      </c>
      <c r="AA64" s="7">
        <v>22.75</v>
      </c>
      <c r="AB64" s="7">
        <v>2975</v>
      </c>
      <c r="AC64" s="7">
        <v>755000</v>
      </c>
      <c r="AD64" s="7">
        <v>755000</v>
      </c>
      <c r="AE64" s="7">
        <v>615212.47</v>
      </c>
      <c r="AF64" s="7">
        <v>463</v>
      </c>
      <c r="AG64" s="7">
        <v>396</v>
      </c>
      <c r="AH64" s="12">
        <v>463</v>
      </c>
    </row>
    <row r="65" spans="1:34" ht="21" hidden="1" x14ac:dyDescent="0.25">
      <c r="A65" s="11">
        <v>17</v>
      </c>
      <c r="B65" s="8" t="s">
        <v>16</v>
      </c>
      <c r="C65" s="7">
        <v>1475</v>
      </c>
      <c r="D65" s="8" t="s">
        <v>82</v>
      </c>
      <c r="E65" s="8" t="s">
        <v>11</v>
      </c>
      <c r="F65" s="8" t="s">
        <v>12</v>
      </c>
      <c r="G65" s="7">
        <v>95000</v>
      </c>
      <c r="H65" s="7">
        <v>52</v>
      </c>
      <c r="I65" s="7">
        <v>52</v>
      </c>
      <c r="J65" s="7">
        <v>55288.81</v>
      </c>
      <c r="K65" s="7">
        <v>39675.071562999998</v>
      </c>
      <c r="L65" s="7">
        <v>0</v>
      </c>
      <c r="M65" s="7">
        <v>28.24</v>
      </c>
      <c r="N65" s="7">
        <v>21.94</v>
      </c>
      <c r="O65" s="7">
        <v>278601.65000000002</v>
      </c>
      <c r="P65" s="7">
        <v>197998.658257</v>
      </c>
      <c r="Q65" s="7">
        <v>0</v>
      </c>
      <c r="R65" s="7">
        <v>28.93</v>
      </c>
      <c r="S65" s="7">
        <v>34</v>
      </c>
      <c r="T65" s="7">
        <v>22</v>
      </c>
      <c r="U65" s="7">
        <v>22</v>
      </c>
      <c r="V65" s="7">
        <v>240</v>
      </c>
      <c r="W65" s="7">
        <v>11.69</v>
      </c>
      <c r="X65" s="7">
        <v>95000</v>
      </c>
      <c r="Y65" s="7">
        <v>0</v>
      </c>
      <c r="Z65" s="7">
        <v>0</v>
      </c>
      <c r="AA65" s="7">
        <v>23.78</v>
      </c>
      <c r="AB65" s="7">
        <v>2975</v>
      </c>
      <c r="AC65" s="7">
        <v>580000</v>
      </c>
      <c r="AD65" s="7">
        <v>580000</v>
      </c>
      <c r="AE65" s="7">
        <v>278601.65000000002</v>
      </c>
      <c r="AF65" s="7">
        <v>300</v>
      </c>
      <c r="AG65" s="7">
        <v>135</v>
      </c>
      <c r="AH65" s="12">
        <v>300</v>
      </c>
    </row>
    <row r="66" spans="1:34" ht="21" hidden="1" x14ac:dyDescent="0.25">
      <c r="A66" s="11">
        <v>10</v>
      </c>
      <c r="B66" s="8" t="s">
        <v>180</v>
      </c>
      <c r="C66" s="7">
        <v>1486</v>
      </c>
      <c r="D66" s="8" t="s">
        <v>89</v>
      </c>
      <c r="E66" s="8" t="s">
        <v>11</v>
      </c>
      <c r="F66" s="8" t="s">
        <v>12</v>
      </c>
      <c r="G66" s="7">
        <v>45000</v>
      </c>
      <c r="H66" s="7">
        <v>35</v>
      </c>
      <c r="I66" s="7">
        <v>35</v>
      </c>
      <c r="J66" s="7">
        <v>30983.9</v>
      </c>
      <c r="K66" s="7">
        <v>22133.738924000001</v>
      </c>
      <c r="L66" s="7">
        <v>0</v>
      </c>
      <c r="M66" s="7">
        <v>28.56</v>
      </c>
      <c r="N66" s="7">
        <v>26.65</v>
      </c>
      <c r="O66" s="7">
        <v>675229.49</v>
      </c>
      <c r="P66" s="7">
        <v>507872.78409500001</v>
      </c>
      <c r="Q66" s="7">
        <v>0</v>
      </c>
      <c r="R66" s="7">
        <v>24.79</v>
      </c>
      <c r="S66" s="7">
        <v>24</v>
      </c>
      <c r="T66" s="7">
        <v>22</v>
      </c>
      <c r="U66" s="7">
        <v>22</v>
      </c>
      <c r="V66" s="7">
        <v>144</v>
      </c>
      <c r="W66" s="7">
        <v>7.51</v>
      </c>
      <c r="X66" s="7">
        <v>45000</v>
      </c>
      <c r="Y66" s="7">
        <v>0</v>
      </c>
      <c r="Z66" s="7">
        <v>1</v>
      </c>
      <c r="AA66" s="7">
        <v>19.760000000000002</v>
      </c>
      <c r="AB66" s="7">
        <v>2975</v>
      </c>
      <c r="AC66" s="7">
        <v>678000</v>
      </c>
      <c r="AD66" s="7">
        <v>678000</v>
      </c>
      <c r="AE66" s="7">
        <v>478225.19</v>
      </c>
      <c r="AF66" s="7">
        <v>493</v>
      </c>
      <c r="AG66" s="7">
        <v>464</v>
      </c>
      <c r="AH66" s="12">
        <v>493</v>
      </c>
    </row>
    <row r="67" spans="1:34" ht="21" hidden="1" x14ac:dyDescent="0.25">
      <c r="A67" s="11">
        <v>20</v>
      </c>
      <c r="B67" s="8" t="s">
        <v>30</v>
      </c>
      <c r="C67" s="7">
        <v>1493</v>
      </c>
      <c r="D67" s="8" t="s">
        <v>90</v>
      </c>
      <c r="E67" s="8" t="s">
        <v>11</v>
      </c>
      <c r="F67" s="8" t="s">
        <v>12</v>
      </c>
      <c r="G67" s="7">
        <v>45000</v>
      </c>
      <c r="H67" s="7">
        <v>40</v>
      </c>
      <c r="I67" s="7">
        <v>40</v>
      </c>
      <c r="J67" s="7">
        <v>11675.67</v>
      </c>
      <c r="K67" s="7">
        <v>8937.8365140000005</v>
      </c>
      <c r="L67" s="7">
        <v>0</v>
      </c>
      <c r="M67" s="7">
        <v>23.45</v>
      </c>
      <c r="N67" s="7">
        <v>31.15</v>
      </c>
      <c r="O67" s="7">
        <v>357495.26</v>
      </c>
      <c r="P67" s="7">
        <v>269497.492899</v>
      </c>
      <c r="Q67" s="7">
        <v>0</v>
      </c>
      <c r="R67" s="7">
        <v>24.62</v>
      </c>
      <c r="S67" s="7">
        <v>14</v>
      </c>
      <c r="T67" s="7">
        <v>22</v>
      </c>
      <c r="U67" s="7">
        <v>22</v>
      </c>
      <c r="V67" s="7">
        <v>64</v>
      </c>
      <c r="W67" s="7">
        <v>6.13</v>
      </c>
      <c r="X67" s="7">
        <v>45000</v>
      </c>
      <c r="Y67" s="7">
        <v>699.2</v>
      </c>
      <c r="Z67" s="7">
        <v>0</v>
      </c>
      <c r="AA67" s="7">
        <v>32.26</v>
      </c>
      <c r="AB67" s="7">
        <v>2975</v>
      </c>
      <c r="AC67" s="7">
        <v>336000</v>
      </c>
      <c r="AD67" s="7">
        <v>336000</v>
      </c>
      <c r="AE67" s="7">
        <v>126500.95</v>
      </c>
      <c r="AF67" s="7">
        <v>285</v>
      </c>
      <c r="AG67" s="7">
        <v>122</v>
      </c>
      <c r="AH67" s="12">
        <v>285</v>
      </c>
    </row>
    <row r="68" spans="1:34" ht="21" hidden="1" x14ac:dyDescent="0.25">
      <c r="A68" s="11">
        <v>17</v>
      </c>
      <c r="B68" s="8" t="s">
        <v>16</v>
      </c>
      <c r="C68" s="7">
        <v>1497</v>
      </c>
      <c r="D68" s="8" t="s">
        <v>91</v>
      </c>
      <c r="E68" s="8" t="s">
        <v>11</v>
      </c>
      <c r="F68" s="8" t="s">
        <v>12</v>
      </c>
      <c r="G68" s="7">
        <v>85000</v>
      </c>
      <c r="H68" s="7">
        <v>35</v>
      </c>
      <c r="I68" s="7">
        <v>35</v>
      </c>
      <c r="J68" s="7">
        <v>63933.599999999999</v>
      </c>
      <c r="K68" s="7">
        <v>45703.496751999999</v>
      </c>
      <c r="L68" s="7">
        <v>0</v>
      </c>
      <c r="M68" s="7">
        <v>28.51</v>
      </c>
      <c r="N68" s="7">
        <v>20.72</v>
      </c>
      <c r="O68" s="7">
        <v>278601.65000000002</v>
      </c>
      <c r="P68" s="7">
        <v>197998.658257</v>
      </c>
      <c r="Q68" s="7">
        <v>0</v>
      </c>
      <c r="R68" s="7">
        <v>28.93</v>
      </c>
      <c r="S68" s="7">
        <v>29</v>
      </c>
      <c r="T68" s="7">
        <v>22</v>
      </c>
      <c r="U68" s="7">
        <v>22</v>
      </c>
      <c r="V68" s="7">
        <v>385</v>
      </c>
      <c r="W68" s="7">
        <v>22.35</v>
      </c>
      <c r="X68" s="7">
        <v>85000</v>
      </c>
      <c r="Y68" s="7">
        <v>0</v>
      </c>
      <c r="Z68" s="7">
        <v>0</v>
      </c>
      <c r="AA68" s="7">
        <v>23.78</v>
      </c>
      <c r="AB68" s="7">
        <v>2975</v>
      </c>
      <c r="AC68" s="7">
        <v>580000</v>
      </c>
      <c r="AD68" s="7">
        <v>580000</v>
      </c>
      <c r="AE68" s="7">
        <v>278601.65000000002</v>
      </c>
      <c r="AF68" s="7">
        <v>300</v>
      </c>
      <c r="AG68" s="7">
        <v>135</v>
      </c>
      <c r="AH68" s="12">
        <v>300</v>
      </c>
    </row>
    <row r="69" spans="1:34" ht="21" hidden="1" x14ac:dyDescent="0.25">
      <c r="A69" s="11">
        <v>10</v>
      </c>
      <c r="B69" s="8" t="s">
        <v>180</v>
      </c>
      <c r="C69" s="7">
        <v>1500</v>
      </c>
      <c r="D69" s="8" t="s">
        <v>92</v>
      </c>
      <c r="E69" s="8" t="s">
        <v>11</v>
      </c>
      <c r="F69" s="8" t="s">
        <v>12</v>
      </c>
      <c r="G69" s="7">
        <v>84000</v>
      </c>
      <c r="H69" s="7">
        <v>5</v>
      </c>
      <c r="I69" s="7">
        <v>5</v>
      </c>
      <c r="J69" s="7">
        <v>22482.5</v>
      </c>
      <c r="K69" s="7">
        <v>16395.947326000001</v>
      </c>
      <c r="L69" s="7">
        <v>0</v>
      </c>
      <c r="M69" s="7">
        <v>27.07</v>
      </c>
      <c r="N69" s="7">
        <v>42</v>
      </c>
      <c r="O69" s="7">
        <v>675229.49</v>
      </c>
      <c r="P69" s="7">
        <v>507872.78409500001</v>
      </c>
      <c r="Q69" s="7">
        <v>0</v>
      </c>
      <c r="R69" s="7">
        <v>24.79</v>
      </c>
      <c r="S69" s="7">
        <v>4</v>
      </c>
      <c r="T69" s="7">
        <v>22</v>
      </c>
      <c r="U69" s="7">
        <v>22</v>
      </c>
      <c r="V69" s="7">
        <v>108</v>
      </c>
      <c r="W69" s="7">
        <v>32.799999999999997</v>
      </c>
      <c r="X69" s="7">
        <v>84000</v>
      </c>
      <c r="Y69" s="7">
        <v>0</v>
      </c>
      <c r="Z69" s="7">
        <v>0</v>
      </c>
      <c r="AA69" s="7">
        <v>19.760000000000002</v>
      </c>
      <c r="AB69" s="7">
        <v>2975</v>
      </c>
      <c r="AC69" s="7">
        <v>678000</v>
      </c>
      <c r="AD69" s="7">
        <v>678000</v>
      </c>
      <c r="AE69" s="7">
        <v>478225.19</v>
      </c>
      <c r="AF69" s="7">
        <v>493</v>
      </c>
      <c r="AG69" s="7">
        <v>464</v>
      </c>
      <c r="AH69" s="12">
        <v>493</v>
      </c>
    </row>
    <row r="70" spans="1:34" hidden="1" x14ac:dyDescent="0.25">
      <c r="A70" s="11">
        <v>2</v>
      </c>
      <c r="B70" s="8" t="s">
        <v>10</v>
      </c>
      <c r="C70" s="7">
        <v>1505</v>
      </c>
      <c r="D70" s="8" t="s">
        <v>93</v>
      </c>
      <c r="E70" s="8" t="s">
        <v>11</v>
      </c>
      <c r="F70" s="8" t="s">
        <v>12</v>
      </c>
      <c r="G70" s="7">
        <v>80000</v>
      </c>
      <c r="H70" s="7">
        <v>50</v>
      </c>
      <c r="I70" s="7">
        <v>50</v>
      </c>
      <c r="J70" s="7">
        <v>90756.63</v>
      </c>
      <c r="K70" s="7">
        <v>67556.276435000007</v>
      </c>
      <c r="L70" s="7">
        <v>0</v>
      </c>
      <c r="M70" s="7">
        <v>25.56</v>
      </c>
      <c r="N70" s="7">
        <v>19.75</v>
      </c>
      <c r="O70" s="7">
        <v>985449.1</v>
      </c>
      <c r="P70" s="7">
        <v>729210.20780199999</v>
      </c>
      <c r="Q70" s="7">
        <v>0</v>
      </c>
      <c r="R70" s="7">
        <v>26</v>
      </c>
      <c r="S70" s="7">
        <v>50</v>
      </c>
      <c r="T70" s="7">
        <v>22</v>
      </c>
      <c r="U70" s="7">
        <v>22</v>
      </c>
      <c r="V70" s="7">
        <v>558</v>
      </c>
      <c r="W70" s="7">
        <v>19.13</v>
      </c>
      <c r="X70" s="7">
        <v>80000</v>
      </c>
      <c r="Y70" s="7">
        <v>0</v>
      </c>
      <c r="Z70" s="7">
        <v>1</v>
      </c>
      <c r="AA70" s="7">
        <v>20.39</v>
      </c>
      <c r="AB70" s="7">
        <v>2975</v>
      </c>
      <c r="AC70" s="7">
        <v>1336000</v>
      </c>
      <c r="AD70" s="7">
        <v>1336000</v>
      </c>
      <c r="AE70" s="7">
        <v>1067042.8500000001</v>
      </c>
      <c r="AF70" s="7">
        <v>862</v>
      </c>
      <c r="AG70" s="7">
        <v>676</v>
      </c>
      <c r="AH70" s="12">
        <v>862</v>
      </c>
    </row>
    <row r="71" spans="1:34" ht="21" hidden="1" x14ac:dyDescent="0.25">
      <c r="A71" s="11">
        <v>6</v>
      </c>
      <c r="B71" s="8" t="s">
        <v>142</v>
      </c>
      <c r="C71" s="7">
        <v>1512</v>
      </c>
      <c r="D71" s="8" t="s">
        <v>94</v>
      </c>
      <c r="E71" s="8" t="s">
        <v>11</v>
      </c>
      <c r="F71" s="8" t="s">
        <v>12</v>
      </c>
      <c r="G71" s="7">
        <v>69000</v>
      </c>
      <c r="H71" s="7">
        <v>69</v>
      </c>
      <c r="I71" s="7">
        <v>69</v>
      </c>
      <c r="J71" s="7">
        <v>58376.42</v>
      </c>
      <c r="K71" s="7">
        <v>44716.215284999998</v>
      </c>
      <c r="L71" s="7">
        <v>0</v>
      </c>
      <c r="M71" s="7">
        <v>23.4</v>
      </c>
      <c r="N71" s="7">
        <v>15.25</v>
      </c>
      <c r="O71" s="7">
        <v>595843.36</v>
      </c>
      <c r="P71" s="7">
        <v>450944.50232500001</v>
      </c>
      <c r="Q71" s="7">
        <v>0</v>
      </c>
      <c r="R71" s="7">
        <v>24.32</v>
      </c>
      <c r="S71" s="7">
        <v>62</v>
      </c>
      <c r="T71" s="7">
        <v>22</v>
      </c>
      <c r="U71" s="7">
        <v>22</v>
      </c>
      <c r="V71" s="7">
        <v>398</v>
      </c>
      <c r="W71" s="7">
        <v>10.56</v>
      </c>
      <c r="X71" s="7">
        <v>69000</v>
      </c>
      <c r="Y71" s="7">
        <v>0</v>
      </c>
      <c r="Z71" s="7">
        <v>0</v>
      </c>
      <c r="AA71" s="7">
        <v>19.489999999999998</v>
      </c>
      <c r="AB71" s="7">
        <v>2975</v>
      </c>
      <c r="AC71" s="7">
        <v>1051000</v>
      </c>
      <c r="AD71" s="7">
        <v>1051000</v>
      </c>
      <c r="AE71" s="7">
        <v>798720.49</v>
      </c>
      <c r="AF71" s="7">
        <v>908</v>
      </c>
      <c r="AG71" s="7">
        <v>697</v>
      </c>
      <c r="AH71" s="12">
        <v>908</v>
      </c>
    </row>
    <row r="72" spans="1:34" ht="21" hidden="1" x14ac:dyDescent="0.25">
      <c r="A72" s="11">
        <v>4</v>
      </c>
      <c r="B72" s="8" t="s">
        <v>15</v>
      </c>
      <c r="C72" s="7">
        <v>1522</v>
      </c>
      <c r="D72" s="8" t="s">
        <v>95</v>
      </c>
      <c r="E72" s="8" t="s">
        <v>11</v>
      </c>
      <c r="F72" s="8" t="s">
        <v>12</v>
      </c>
      <c r="G72" s="7">
        <v>70000</v>
      </c>
      <c r="H72" s="7">
        <v>1</v>
      </c>
      <c r="I72" s="7">
        <v>1</v>
      </c>
      <c r="J72" s="7">
        <v>33200.400000000001</v>
      </c>
      <c r="K72" s="7">
        <v>23625.969660999999</v>
      </c>
      <c r="L72" s="7">
        <v>0</v>
      </c>
      <c r="M72" s="7">
        <v>28.84</v>
      </c>
      <c r="N72" s="7">
        <v>28</v>
      </c>
      <c r="O72" s="7">
        <v>589256.66</v>
      </c>
      <c r="P72" s="7">
        <v>426378.094323</v>
      </c>
      <c r="Q72" s="7">
        <v>0</v>
      </c>
      <c r="R72" s="7">
        <v>27.64</v>
      </c>
      <c r="S72" s="7">
        <v>1</v>
      </c>
      <c r="T72" s="7">
        <v>22</v>
      </c>
      <c r="U72" s="7">
        <v>22</v>
      </c>
      <c r="V72" s="7">
        <v>87</v>
      </c>
      <c r="W72" s="7">
        <v>21.75</v>
      </c>
      <c r="X72" s="7">
        <v>70000</v>
      </c>
      <c r="Y72" s="7">
        <v>0</v>
      </c>
      <c r="Z72" s="7">
        <v>0</v>
      </c>
      <c r="AA72" s="7">
        <v>22.75</v>
      </c>
      <c r="AB72" s="7">
        <v>2975</v>
      </c>
      <c r="AC72" s="7">
        <v>755000</v>
      </c>
      <c r="AD72" s="7">
        <v>755000</v>
      </c>
      <c r="AE72" s="7">
        <v>615212.47</v>
      </c>
      <c r="AF72" s="7">
        <v>463</v>
      </c>
      <c r="AG72" s="7">
        <v>396</v>
      </c>
      <c r="AH72" s="12">
        <v>463</v>
      </c>
    </row>
    <row r="73" spans="1:34" hidden="1" x14ac:dyDescent="0.25">
      <c r="A73" s="11">
        <v>2</v>
      </c>
      <c r="B73" s="8" t="s">
        <v>10</v>
      </c>
      <c r="C73" s="7">
        <v>1524</v>
      </c>
      <c r="D73" s="8" t="s">
        <v>96</v>
      </c>
      <c r="E73" s="8" t="s">
        <v>11</v>
      </c>
      <c r="F73" s="8" t="s">
        <v>12</v>
      </c>
      <c r="G73" s="7">
        <v>90000</v>
      </c>
      <c r="H73" s="7">
        <v>62</v>
      </c>
      <c r="I73" s="7">
        <v>62</v>
      </c>
      <c r="J73" s="7">
        <v>64484.06</v>
      </c>
      <c r="K73" s="7">
        <v>48313.813245999998</v>
      </c>
      <c r="L73" s="7">
        <v>0</v>
      </c>
      <c r="M73" s="7">
        <v>25.08</v>
      </c>
      <c r="N73" s="7">
        <v>18.920000000000002</v>
      </c>
      <c r="O73" s="7">
        <v>985449.1</v>
      </c>
      <c r="P73" s="7">
        <v>729210.20780199999</v>
      </c>
      <c r="Q73" s="7">
        <v>0</v>
      </c>
      <c r="R73" s="7">
        <v>26</v>
      </c>
      <c r="S73" s="7">
        <v>62</v>
      </c>
      <c r="T73" s="7">
        <v>22</v>
      </c>
      <c r="U73" s="7">
        <v>22</v>
      </c>
      <c r="V73" s="7">
        <v>480</v>
      </c>
      <c r="W73" s="7">
        <v>15.41</v>
      </c>
      <c r="X73" s="7">
        <v>90000</v>
      </c>
      <c r="Y73" s="7">
        <v>383</v>
      </c>
      <c r="Z73" s="7">
        <v>0</v>
      </c>
      <c r="AA73" s="7">
        <v>20.39</v>
      </c>
      <c r="AB73" s="7">
        <v>2975</v>
      </c>
      <c r="AC73" s="7">
        <v>1336000</v>
      </c>
      <c r="AD73" s="7">
        <v>1336000</v>
      </c>
      <c r="AE73" s="7">
        <v>1067042.8500000001</v>
      </c>
      <c r="AF73" s="7">
        <v>862</v>
      </c>
      <c r="AG73" s="7">
        <v>676</v>
      </c>
      <c r="AH73" s="12">
        <v>862</v>
      </c>
    </row>
    <row r="74" spans="1:34" ht="21" hidden="1" x14ac:dyDescent="0.25">
      <c r="A74" s="11">
        <v>26</v>
      </c>
      <c r="B74" s="8" t="s">
        <v>13</v>
      </c>
      <c r="C74" s="7">
        <v>1527</v>
      </c>
      <c r="D74" s="8" t="s">
        <v>42</v>
      </c>
      <c r="E74" s="8" t="s">
        <v>11</v>
      </c>
      <c r="F74" s="8" t="s">
        <v>12</v>
      </c>
      <c r="G74" s="7">
        <v>46000</v>
      </c>
      <c r="H74" s="7">
        <v>40</v>
      </c>
      <c r="I74" s="7">
        <v>40</v>
      </c>
      <c r="J74" s="7">
        <v>48385</v>
      </c>
      <c r="K74" s="7">
        <v>36441.181754999998</v>
      </c>
      <c r="L74" s="7">
        <v>0</v>
      </c>
      <c r="M74" s="7">
        <v>24.68</v>
      </c>
      <c r="N74" s="7">
        <v>24.28</v>
      </c>
      <c r="O74" s="7">
        <v>538753.56999999995</v>
      </c>
      <c r="P74" s="7">
        <v>415241.03464700002</v>
      </c>
      <c r="Q74" s="7">
        <v>0</v>
      </c>
      <c r="R74" s="7">
        <v>22.93</v>
      </c>
      <c r="S74" s="7">
        <v>42</v>
      </c>
      <c r="T74" s="7">
        <v>22</v>
      </c>
      <c r="U74" s="7">
        <v>22</v>
      </c>
      <c r="V74" s="7">
        <v>288</v>
      </c>
      <c r="W74" s="7">
        <v>7.54</v>
      </c>
      <c r="X74" s="7">
        <v>46000</v>
      </c>
      <c r="Y74" s="7">
        <v>1432.76</v>
      </c>
      <c r="Z74" s="7">
        <v>1</v>
      </c>
      <c r="AA74" s="7">
        <v>23.52</v>
      </c>
      <c r="AB74" s="7">
        <v>2975</v>
      </c>
      <c r="AC74" s="7">
        <v>878000</v>
      </c>
      <c r="AD74" s="7">
        <v>878000</v>
      </c>
      <c r="AE74" s="7">
        <v>606537.78</v>
      </c>
      <c r="AF74" s="7">
        <v>651</v>
      </c>
      <c r="AG74" s="7">
        <v>568</v>
      </c>
      <c r="AH74" s="12">
        <v>651</v>
      </c>
    </row>
    <row r="75" spans="1:34" ht="21" hidden="1" x14ac:dyDescent="0.25">
      <c r="A75" s="11">
        <v>26</v>
      </c>
      <c r="B75" s="8" t="s">
        <v>13</v>
      </c>
      <c r="C75" s="7">
        <v>1535</v>
      </c>
      <c r="D75" s="8" t="s">
        <v>97</v>
      </c>
      <c r="E75" s="8" t="s">
        <v>11</v>
      </c>
      <c r="F75" s="8" t="s">
        <v>12</v>
      </c>
      <c r="G75" s="7">
        <v>46000</v>
      </c>
      <c r="H75" s="7">
        <v>40</v>
      </c>
      <c r="I75" s="7">
        <v>40</v>
      </c>
      <c r="J75" s="7">
        <v>14331.59</v>
      </c>
      <c r="K75" s="7">
        <v>10922.249996</v>
      </c>
      <c r="L75" s="7">
        <v>0</v>
      </c>
      <c r="M75" s="7">
        <v>23.79</v>
      </c>
      <c r="N75" s="7">
        <v>18.97</v>
      </c>
      <c r="O75" s="7">
        <v>538753.56999999995</v>
      </c>
      <c r="P75" s="7">
        <v>415241.03464700002</v>
      </c>
      <c r="Q75" s="7">
        <v>0</v>
      </c>
      <c r="R75" s="7">
        <v>22.93</v>
      </c>
      <c r="S75" s="7">
        <v>30</v>
      </c>
      <c r="T75" s="7">
        <v>22</v>
      </c>
      <c r="U75" s="7">
        <v>22</v>
      </c>
      <c r="V75" s="7">
        <v>125</v>
      </c>
      <c r="W75" s="7">
        <v>5.24</v>
      </c>
      <c r="X75" s="7">
        <v>46000</v>
      </c>
      <c r="Y75" s="7">
        <v>382.16</v>
      </c>
      <c r="Z75" s="7">
        <v>1</v>
      </c>
      <c r="AA75" s="7">
        <v>23.52</v>
      </c>
      <c r="AB75" s="7">
        <v>2975</v>
      </c>
      <c r="AC75" s="7">
        <v>878000</v>
      </c>
      <c r="AD75" s="7">
        <v>878000</v>
      </c>
      <c r="AE75" s="7">
        <v>606537.78</v>
      </c>
      <c r="AF75" s="7">
        <v>651</v>
      </c>
      <c r="AG75" s="7">
        <v>568</v>
      </c>
      <c r="AH75" s="12">
        <v>651</v>
      </c>
    </row>
    <row r="76" spans="1:34" ht="21" hidden="1" x14ac:dyDescent="0.25">
      <c r="A76" s="11">
        <v>20</v>
      </c>
      <c r="B76" s="8" t="s">
        <v>30</v>
      </c>
      <c r="C76" s="7">
        <v>1537</v>
      </c>
      <c r="D76" s="8" t="s">
        <v>42</v>
      </c>
      <c r="E76" s="8" t="s">
        <v>11</v>
      </c>
      <c r="F76" s="8" t="s">
        <v>12</v>
      </c>
      <c r="G76" s="7">
        <v>46000</v>
      </c>
      <c r="H76" s="7">
        <v>40</v>
      </c>
      <c r="I76" s="7">
        <v>40</v>
      </c>
      <c r="J76" s="7">
        <v>32979.08</v>
      </c>
      <c r="K76" s="7">
        <v>24979.941756</v>
      </c>
      <c r="L76" s="7">
        <v>0</v>
      </c>
      <c r="M76" s="7">
        <v>24.26</v>
      </c>
      <c r="N76" s="7">
        <v>26.36</v>
      </c>
      <c r="O76" s="7">
        <v>357495.26</v>
      </c>
      <c r="P76" s="7">
        <v>269497.492899</v>
      </c>
      <c r="Q76" s="7">
        <v>0</v>
      </c>
      <c r="R76" s="7">
        <v>24.62</v>
      </c>
      <c r="S76" s="7">
        <v>40</v>
      </c>
      <c r="T76" s="7">
        <v>22</v>
      </c>
      <c r="U76" s="7">
        <v>22</v>
      </c>
      <c r="V76" s="7">
        <v>358</v>
      </c>
      <c r="W76" s="7">
        <v>9.36</v>
      </c>
      <c r="X76" s="7">
        <v>46000</v>
      </c>
      <c r="Y76" s="7">
        <v>2093.33</v>
      </c>
      <c r="Z76" s="7">
        <v>0</v>
      </c>
      <c r="AA76" s="7">
        <v>32.26</v>
      </c>
      <c r="AB76" s="7">
        <v>2975</v>
      </c>
      <c r="AC76" s="7">
        <v>336000</v>
      </c>
      <c r="AD76" s="7">
        <v>336000</v>
      </c>
      <c r="AE76" s="7">
        <v>126500.95</v>
      </c>
      <c r="AF76" s="7">
        <v>285</v>
      </c>
      <c r="AG76" s="7">
        <v>122</v>
      </c>
      <c r="AH76" s="12">
        <v>285</v>
      </c>
    </row>
    <row r="77" spans="1:34" ht="21" hidden="1" x14ac:dyDescent="0.25">
      <c r="A77" s="11">
        <v>17</v>
      </c>
      <c r="B77" s="8" t="s">
        <v>16</v>
      </c>
      <c r="C77" s="7">
        <v>1549</v>
      </c>
      <c r="D77" s="8" t="s">
        <v>98</v>
      </c>
      <c r="E77" s="8" t="s">
        <v>11</v>
      </c>
      <c r="F77" s="8" t="s">
        <v>12</v>
      </c>
      <c r="G77" s="7">
        <v>0</v>
      </c>
      <c r="H77" s="7">
        <v>0</v>
      </c>
      <c r="I77" s="7">
        <v>0</v>
      </c>
      <c r="J77" s="7">
        <v>3103.56</v>
      </c>
      <c r="K77" s="7">
        <v>1934.557515</v>
      </c>
      <c r="L77" s="7">
        <v>0</v>
      </c>
      <c r="M77" s="7">
        <v>37.67</v>
      </c>
      <c r="N77" s="7">
        <v>21</v>
      </c>
      <c r="O77" s="7">
        <v>278601.65000000002</v>
      </c>
      <c r="P77" s="7">
        <v>197998.658257</v>
      </c>
      <c r="Q77" s="7">
        <v>0</v>
      </c>
      <c r="R77" s="7">
        <v>28.93</v>
      </c>
      <c r="S77" s="7">
        <v>2</v>
      </c>
      <c r="T77" s="7">
        <v>22</v>
      </c>
      <c r="U77" s="7">
        <v>22</v>
      </c>
      <c r="V77" s="7">
        <v>32</v>
      </c>
      <c r="W77" s="7">
        <v>16.5</v>
      </c>
      <c r="X77" s="7">
        <v>0</v>
      </c>
      <c r="Y77" s="7">
        <v>0</v>
      </c>
      <c r="Z77" s="7">
        <v>0</v>
      </c>
      <c r="AA77" s="7">
        <v>23.78</v>
      </c>
      <c r="AB77" s="7">
        <v>2975</v>
      </c>
      <c r="AC77" s="7">
        <v>580000</v>
      </c>
      <c r="AD77" s="7">
        <v>580000</v>
      </c>
      <c r="AE77" s="7">
        <v>278601.65000000002</v>
      </c>
      <c r="AF77" s="7">
        <v>300</v>
      </c>
      <c r="AG77" s="7">
        <v>135</v>
      </c>
      <c r="AH77" s="12">
        <v>300</v>
      </c>
    </row>
    <row r="78" spans="1:34" hidden="1" x14ac:dyDescent="0.25">
      <c r="A78" s="11">
        <v>2</v>
      </c>
      <c r="B78" s="8" t="s">
        <v>10</v>
      </c>
      <c r="C78" s="7">
        <v>1553</v>
      </c>
      <c r="D78" s="8" t="s">
        <v>55</v>
      </c>
      <c r="E78" s="8" t="s">
        <v>11</v>
      </c>
      <c r="F78" s="8" t="s">
        <v>12</v>
      </c>
      <c r="G78" s="7">
        <v>46000</v>
      </c>
      <c r="H78" s="7">
        <v>40</v>
      </c>
      <c r="I78" s="7">
        <v>40</v>
      </c>
      <c r="J78" s="7">
        <v>43249.19</v>
      </c>
      <c r="K78" s="7">
        <v>31317.086769000001</v>
      </c>
      <c r="L78" s="7">
        <v>0</v>
      </c>
      <c r="M78" s="7">
        <v>27.59</v>
      </c>
      <c r="N78" s="7">
        <v>41.78</v>
      </c>
      <c r="O78" s="7">
        <v>985449.1</v>
      </c>
      <c r="P78" s="7">
        <v>729210.20780199999</v>
      </c>
      <c r="Q78" s="7">
        <v>0</v>
      </c>
      <c r="R78" s="7">
        <v>26</v>
      </c>
      <c r="S78" s="7">
        <v>28</v>
      </c>
      <c r="T78" s="7">
        <v>22</v>
      </c>
      <c r="U78" s="7">
        <v>22</v>
      </c>
      <c r="V78" s="7">
        <v>205</v>
      </c>
      <c r="W78" s="7">
        <v>7.95</v>
      </c>
      <c r="X78" s="7">
        <v>46000</v>
      </c>
      <c r="Y78" s="7">
        <v>2276.3200000000002</v>
      </c>
      <c r="Z78" s="7">
        <v>0</v>
      </c>
      <c r="AA78" s="7">
        <v>20.39</v>
      </c>
      <c r="AB78" s="7">
        <v>2975</v>
      </c>
      <c r="AC78" s="7">
        <v>1336000</v>
      </c>
      <c r="AD78" s="7">
        <v>1336000</v>
      </c>
      <c r="AE78" s="7">
        <v>1067042.8500000001</v>
      </c>
      <c r="AF78" s="7">
        <v>862</v>
      </c>
      <c r="AG78" s="7">
        <v>676</v>
      </c>
      <c r="AH78" s="12">
        <v>862</v>
      </c>
    </row>
    <row r="79" spans="1:34" ht="21" hidden="1" x14ac:dyDescent="0.25">
      <c r="A79" s="11">
        <v>20</v>
      </c>
      <c r="B79" s="8" t="s">
        <v>30</v>
      </c>
      <c r="C79" s="7">
        <v>1556</v>
      </c>
      <c r="D79" s="8" t="s">
        <v>99</v>
      </c>
      <c r="E79" s="8" t="s">
        <v>11</v>
      </c>
      <c r="F79" s="8" t="s">
        <v>12</v>
      </c>
      <c r="G79" s="7">
        <v>45000</v>
      </c>
      <c r="H79" s="7">
        <v>40</v>
      </c>
      <c r="I79" s="7">
        <v>40</v>
      </c>
      <c r="J79" s="7">
        <v>16427.02</v>
      </c>
      <c r="K79" s="7">
        <v>12410.288299</v>
      </c>
      <c r="L79" s="7">
        <v>0</v>
      </c>
      <c r="M79" s="7">
        <v>24.45</v>
      </c>
      <c r="N79" s="7">
        <v>42.82</v>
      </c>
      <c r="O79" s="7">
        <v>357495.26</v>
      </c>
      <c r="P79" s="7">
        <v>269497.492899</v>
      </c>
      <c r="Q79" s="7">
        <v>0</v>
      </c>
      <c r="R79" s="7">
        <v>24.62</v>
      </c>
      <c r="S79" s="7">
        <v>9</v>
      </c>
      <c r="T79" s="7">
        <v>22</v>
      </c>
      <c r="U79" s="7">
        <v>22</v>
      </c>
      <c r="V79" s="7">
        <v>91</v>
      </c>
      <c r="W79" s="7">
        <v>11.22</v>
      </c>
      <c r="X79" s="7">
        <v>45000</v>
      </c>
      <c r="Y79" s="7">
        <v>0</v>
      </c>
      <c r="Z79" s="7">
        <v>0</v>
      </c>
      <c r="AA79" s="7">
        <v>32.26</v>
      </c>
      <c r="AB79" s="7">
        <v>2975</v>
      </c>
      <c r="AC79" s="7">
        <v>336000</v>
      </c>
      <c r="AD79" s="7">
        <v>336000</v>
      </c>
      <c r="AE79" s="7">
        <v>126500.95</v>
      </c>
      <c r="AF79" s="7">
        <v>285</v>
      </c>
      <c r="AG79" s="7">
        <v>122</v>
      </c>
      <c r="AH79" s="12">
        <v>285</v>
      </c>
    </row>
    <row r="80" spans="1:34" ht="21" hidden="1" x14ac:dyDescent="0.25">
      <c r="A80" s="11">
        <v>4</v>
      </c>
      <c r="B80" s="8" t="s">
        <v>15</v>
      </c>
      <c r="C80" s="7">
        <v>1557</v>
      </c>
      <c r="D80" s="8" t="s">
        <v>100</v>
      </c>
      <c r="E80" s="8" t="s">
        <v>11</v>
      </c>
      <c r="F80" s="8" t="s">
        <v>12</v>
      </c>
      <c r="G80" s="7">
        <v>115000</v>
      </c>
      <c r="H80" s="7">
        <v>78</v>
      </c>
      <c r="I80" s="7">
        <v>78</v>
      </c>
      <c r="J80" s="7">
        <v>107569.41</v>
      </c>
      <c r="K80" s="7">
        <v>76781.789946000004</v>
      </c>
      <c r="L80" s="7">
        <v>0</v>
      </c>
      <c r="M80" s="7">
        <v>28.62</v>
      </c>
      <c r="N80" s="7">
        <v>22.24</v>
      </c>
      <c r="O80" s="7">
        <v>589256.66</v>
      </c>
      <c r="P80" s="7">
        <v>426378.094323</v>
      </c>
      <c r="Q80" s="7">
        <v>0</v>
      </c>
      <c r="R80" s="7">
        <v>27.64</v>
      </c>
      <c r="S80" s="7">
        <v>81</v>
      </c>
      <c r="T80" s="7">
        <v>22</v>
      </c>
      <c r="U80" s="7">
        <v>22</v>
      </c>
      <c r="V80" s="7">
        <v>508</v>
      </c>
      <c r="W80" s="7">
        <v>15.97</v>
      </c>
      <c r="X80" s="7">
        <v>115000</v>
      </c>
      <c r="Y80" s="7">
        <v>0</v>
      </c>
      <c r="Z80" s="7">
        <v>0</v>
      </c>
      <c r="AA80" s="7">
        <v>22.75</v>
      </c>
      <c r="AB80" s="7">
        <v>2975</v>
      </c>
      <c r="AC80" s="7">
        <v>755000</v>
      </c>
      <c r="AD80" s="7">
        <v>755000</v>
      </c>
      <c r="AE80" s="7">
        <v>615212.47</v>
      </c>
      <c r="AF80" s="7">
        <v>463</v>
      </c>
      <c r="AG80" s="7">
        <v>396</v>
      </c>
      <c r="AH80" s="12">
        <v>463</v>
      </c>
    </row>
    <row r="81" spans="1:34" ht="21" hidden="1" x14ac:dyDescent="0.25">
      <c r="A81" s="11">
        <v>4</v>
      </c>
      <c r="B81" s="8" t="s">
        <v>15</v>
      </c>
      <c r="C81" s="7">
        <v>1558</v>
      </c>
      <c r="D81" s="8" t="s">
        <v>101</v>
      </c>
      <c r="E81" s="8" t="s">
        <v>11</v>
      </c>
      <c r="F81" s="8" t="s">
        <v>12</v>
      </c>
      <c r="G81" s="7">
        <v>80000</v>
      </c>
      <c r="H81" s="7">
        <v>60</v>
      </c>
      <c r="I81" s="7">
        <v>60</v>
      </c>
      <c r="J81" s="7">
        <v>66598.8</v>
      </c>
      <c r="K81" s="7">
        <v>48182.432215000001</v>
      </c>
      <c r="L81" s="7">
        <v>0</v>
      </c>
      <c r="M81" s="7">
        <v>27.65</v>
      </c>
      <c r="N81" s="7">
        <v>20.54</v>
      </c>
      <c r="O81" s="7">
        <v>589256.66</v>
      </c>
      <c r="P81" s="7">
        <v>426378.094323</v>
      </c>
      <c r="Q81" s="7">
        <v>0</v>
      </c>
      <c r="R81" s="7">
        <v>27.64</v>
      </c>
      <c r="S81" s="7">
        <v>60</v>
      </c>
      <c r="T81" s="7">
        <v>22</v>
      </c>
      <c r="U81" s="7">
        <v>22</v>
      </c>
      <c r="V81" s="7">
        <v>324</v>
      </c>
      <c r="W81" s="7">
        <v>14.35</v>
      </c>
      <c r="X81" s="7">
        <v>80000</v>
      </c>
      <c r="Y81" s="7">
        <v>0</v>
      </c>
      <c r="Z81" s="7">
        <v>2</v>
      </c>
      <c r="AA81" s="7">
        <v>22.75</v>
      </c>
      <c r="AB81" s="7">
        <v>2975</v>
      </c>
      <c r="AC81" s="7">
        <v>755000</v>
      </c>
      <c r="AD81" s="7">
        <v>755000</v>
      </c>
      <c r="AE81" s="7">
        <v>615212.47</v>
      </c>
      <c r="AF81" s="7">
        <v>463</v>
      </c>
      <c r="AG81" s="7">
        <v>396</v>
      </c>
      <c r="AH81" s="12">
        <v>463</v>
      </c>
    </row>
    <row r="82" spans="1:34" ht="21" hidden="1" x14ac:dyDescent="0.25">
      <c r="A82" s="11">
        <v>4</v>
      </c>
      <c r="B82" s="8" t="s">
        <v>15</v>
      </c>
      <c r="C82" s="7">
        <v>1559</v>
      </c>
      <c r="D82" s="8" t="s">
        <v>102</v>
      </c>
      <c r="E82" s="8" t="s">
        <v>11</v>
      </c>
      <c r="F82" s="8" t="s">
        <v>12</v>
      </c>
      <c r="G82" s="7">
        <v>60000</v>
      </c>
      <c r="H82" s="7">
        <v>40</v>
      </c>
      <c r="I82" s="7">
        <v>40</v>
      </c>
      <c r="J82" s="7">
        <v>55910.41</v>
      </c>
      <c r="K82" s="7">
        <v>41250.319229000001</v>
      </c>
      <c r="L82" s="7">
        <v>0</v>
      </c>
      <c r="M82" s="7">
        <v>26.22</v>
      </c>
      <c r="N82" s="7">
        <v>18.86</v>
      </c>
      <c r="O82" s="7">
        <v>589256.66</v>
      </c>
      <c r="P82" s="7">
        <v>426378.094323</v>
      </c>
      <c r="Q82" s="7">
        <v>0</v>
      </c>
      <c r="R82" s="7">
        <v>27.64</v>
      </c>
      <c r="S82" s="7">
        <v>43</v>
      </c>
      <c r="T82" s="7">
        <v>22</v>
      </c>
      <c r="U82" s="7">
        <v>22</v>
      </c>
      <c r="V82" s="7">
        <v>537</v>
      </c>
      <c r="W82" s="7">
        <v>16.2</v>
      </c>
      <c r="X82" s="7">
        <v>60000</v>
      </c>
      <c r="Y82" s="7">
        <v>0</v>
      </c>
      <c r="Z82" s="7">
        <v>0</v>
      </c>
      <c r="AA82" s="7">
        <v>22.75</v>
      </c>
      <c r="AB82" s="7">
        <v>2975</v>
      </c>
      <c r="AC82" s="7">
        <v>755000</v>
      </c>
      <c r="AD82" s="7">
        <v>755000</v>
      </c>
      <c r="AE82" s="7">
        <v>615212.47</v>
      </c>
      <c r="AF82" s="7">
        <v>463</v>
      </c>
      <c r="AG82" s="7">
        <v>396</v>
      </c>
      <c r="AH82" s="12">
        <v>463</v>
      </c>
    </row>
    <row r="83" spans="1:34" hidden="1" x14ac:dyDescent="0.25">
      <c r="A83" s="11">
        <v>2</v>
      </c>
      <c r="B83" s="8" t="s">
        <v>10</v>
      </c>
      <c r="C83" s="7">
        <v>1561</v>
      </c>
      <c r="D83" s="8" t="s">
        <v>103</v>
      </c>
      <c r="E83" s="8" t="s">
        <v>11</v>
      </c>
      <c r="F83" s="8" t="s">
        <v>12</v>
      </c>
      <c r="G83" s="7">
        <v>90000</v>
      </c>
      <c r="H83" s="7">
        <v>72</v>
      </c>
      <c r="I83" s="7">
        <v>72</v>
      </c>
      <c r="J83" s="7">
        <v>38344.559999999998</v>
      </c>
      <c r="K83" s="7">
        <v>28516.229918000001</v>
      </c>
      <c r="L83" s="7">
        <v>0</v>
      </c>
      <c r="M83" s="7">
        <v>25.63</v>
      </c>
      <c r="N83" s="7">
        <v>17.39</v>
      </c>
      <c r="O83" s="7">
        <v>985449.1</v>
      </c>
      <c r="P83" s="7">
        <v>729210.20780199999</v>
      </c>
      <c r="Q83" s="7">
        <v>0</v>
      </c>
      <c r="R83" s="7">
        <v>26</v>
      </c>
      <c r="S83" s="7">
        <v>30</v>
      </c>
      <c r="T83" s="7">
        <v>22</v>
      </c>
      <c r="U83" s="7">
        <v>22</v>
      </c>
      <c r="V83" s="7">
        <v>412</v>
      </c>
      <c r="W83" s="7">
        <v>11.63</v>
      </c>
      <c r="X83" s="7">
        <v>90000</v>
      </c>
      <c r="Y83" s="7">
        <v>7165.42</v>
      </c>
      <c r="Z83" s="7">
        <v>0</v>
      </c>
      <c r="AA83" s="7">
        <v>20.39</v>
      </c>
      <c r="AB83" s="7">
        <v>2975</v>
      </c>
      <c r="AC83" s="7">
        <v>1336000</v>
      </c>
      <c r="AD83" s="7">
        <v>1336000</v>
      </c>
      <c r="AE83" s="7">
        <v>1067042.8500000001</v>
      </c>
      <c r="AF83" s="7">
        <v>862</v>
      </c>
      <c r="AG83" s="7">
        <v>676</v>
      </c>
      <c r="AH83" s="12">
        <v>862</v>
      </c>
    </row>
    <row r="84" spans="1:34" ht="21" hidden="1" x14ac:dyDescent="0.25">
      <c r="A84" s="11">
        <v>5</v>
      </c>
      <c r="B84" s="8" t="s">
        <v>143</v>
      </c>
      <c r="C84" s="7">
        <v>1563</v>
      </c>
      <c r="D84" s="8" t="s">
        <v>64</v>
      </c>
      <c r="E84" s="8" t="s">
        <v>11</v>
      </c>
      <c r="F84" s="8" t="s">
        <v>12</v>
      </c>
      <c r="G84" s="7">
        <v>60000</v>
      </c>
      <c r="H84" s="7">
        <v>70</v>
      </c>
      <c r="I84" s="7">
        <v>70</v>
      </c>
      <c r="J84" s="7">
        <v>946.45</v>
      </c>
      <c r="K84" s="7">
        <v>694.44608600000004</v>
      </c>
      <c r="L84" s="7">
        <v>0</v>
      </c>
      <c r="M84" s="7">
        <v>26.63</v>
      </c>
      <c r="N84" s="7">
        <v>11.31</v>
      </c>
      <c r="O84" s="7">
        <v>283650.64</v>
      </c>
      <c r="P84" s="7">
        <v>214409.30452199999</v>
      </c>
      <c r="Q84" s="7">
        <v>0</v>
      </c>
      <c r="R84" s="7">
        <v>24.41</v>
      </c>
      <c r="S84" s="7">
        <v>3</v>
      </c>
      <c r="T84" s="7">
        <v>22</v>
      </c>
      <c r="U84" s="7">
        <v>22</v>
      </c>
      <c r="V84" s="7">
        <v>14</v>
      </c>
      <c r="W84" s="7">
        <v>5</v>
      </c>
      <c r="X84" s="7">
        <v>60000</v>
      </c>
      <c r="Y84" s="7">
        <v>772.45</v>
      </c>
      <c r="Z84" s="7">
        <v>0</v>
      </c>
      <c r="AA84" s="7">
        <v>24.18</v>
      </c>
      <c r="AB84" s="7">
        <v>2975</v>
      </c>
      <c r="AC84" s="7">
        <v>570000</v>
      </c>
      <c r="AD84" s="7">
        <v>570000</v>
      </c>
      <c r="AE84" s="7">
        <v>257322.78</v>
      </c>
      <c r="AF84" s="7">
        <v>340</v>
      </c>
      <c r="AG84" s="7">
        <v>127</v>
      </c>
      <c r="AH84" s="12">
        <v>340</v>
      </c>
    </row>
    <row r="85" spans="1:34" ht="21" hidden="1" x14ac:dyDescent="0.25">
      <c r="A85" s="11">
        <v>12</v>
      </c>
      <c r="B85" s="8" t="s">
        <v>14</v>
      </c>
      <c r="C85" s="7">
        <v>1571</v>
      </c>
      <c r="D85" s="8" t="s">
        <v>104</v>
      </c>
      <c r="E85" s="8" t="s">
        <v>11</v>
      </c>
      <c r="F85" s="8" t="s">
        <v>12</v>
      </c>
      <c r="G85" s="7">
        <v>55000</v>
      </c>
      <c r="H85" s="7">
        <v>60</v>
      </c>
      <c r="I85" s="7">
        <v>60</v>
      </c>
      <c r="J85" s="7">
        <v>10938.84</v>
      </c>
      <c r="K85" s="7">
        <v>8476.7458380000007</v>
      </c>
      <c r="L85" s="7">
        <v>0</v>
      </c>
      <c r="M85" s="7">
        <v>22.51</v>
      </c>
      <c r="N85" s="7">
        <v>17.02</v>
      </c>
      <c r="O85" s="7">
        <v>230629.95</v>
      </c>
      <c r="P85" s="7">
        <v>175794.35781799999</v>
      </c>
      <c r="Q85" s="7">
        <v>0</v>
      </c>
      <c r="R85" s="7">
        <v>23.78</v>
      </c>
      <c r="S85" s="7">
        <v>13</v>
      </c>
      <c r="T85" s="7">
        <v>22</v>
      </c>
      <c r="U85" s="7">
        <v>22</v>
      </c>
      <c r="V85" s="7">
        <v>93</v>
      </c>
      <c r="W85" s="7">
        <v>12.31</v>
      </c>
      <c r="X85" s="7">
        <v>55000</v>
      </c>
      <c r="Y85" s="7">
        <v>240.5</v>
      </c>
      <c r="Z85" s="7">
        <v>0</v>
      </c>
      <c r="AA85" s="7">
        <v>28.96</v>
      </c>
      <c r="AB85" s="7">
        <v>2975</v>
      </c>
      <c r="AC85" s="7">
        <v>700000</v>
      </c>
      <c r="AD85" s="7">
        <v>700000</v>
      </c>
      <c r="AE85" s="7">
        <v>256957.81</v>
      </c>
      <c r="AF85" s="7">
        <v>785</v>
      </c>
      <c r="AG85" s="7">
        <v>326</v>
      </c>
      <c r="AH85" s="12">
        <v>785</v>
      </c>
    </row>
    <row r="86" spans="1:34" ht="21" hidden="1" x14ac:dyDescent="0.25">
      <c r="A86" s="11">
        <v>10</v>
      </c>
      <c r="B86" s="8" t="s">
        <v>180</v>
      </c>
      <c r="C86" s="7">
        <v>1572</v>
      </c>
      <c r="D86" s="8" t="s">
        <v>105</v>
      </c>
      <c r="E86" s="8" t="s">
        <v>11</v>
      </c>
      <c r="F86" s="8" t="s">
        <v>12</v>
      </c>
      <c r="G86" s="7">
        <v>60000</v>
      </c>
      <c r="H86" s="7">
        <v>65</v>
      </c>
      <c r="I86" s="7">
        <v>65</v>
      </c>
      <c r="J86" s="7">
        <v>45356.74</v>
      </c>
      <c r="K86" s="7">
        <v>34251.121891000003</v>
      </c>
      <c r="L86" s="7">
        <v>0</v>
      </c>
      <c r="M86" s="7">
        <v>24.49</v>
      </c>
      <c r="N86" s="7">
        <v>14.12</v>
      </c>
      <c r="O86" s="7">
        <v>675229.49</v>
      </c>
      <c r="P86" s="7">
        <v>507872.78409500001</v>
      </c>
      <c r="Q86" s="7">
        <v>0</v>
      </c>
      <c r="R86" s="7">
        <v>24.79</v>
      </c>
      <c r="S86" s="7">
        <v>65</v>
      </c>
      <c r="T86" s="7">
        <v>22</v>
      </c>
      <c r="U86" s="7">
        <v>22</v>
      </c>
      <c r="V86" s="7">
        <v>346</v>
      </c>
      <c r="W86" s="7">
        <v>11.82</v>
      </c>
      <c r="X86" s="7">
        <v>60000</v>
      </c>
      <c r="Y86" s="7">
        <v>1248.32</v>
      </c>
      <c r="Z86" s="7">
        <v>0</v>
      </c>
      <c r="AA86" s="7">
        <v>19.760000000000002</v>
      </c>
      <c r="AB86" s="7">
        <v>2975</v>
      </c>
      <c r="AC86" s="7">
        <v>678000</v>
      </c>
      <c r="AD86" s="7">
        <v>678000</v>
      </c>
      <c r="AE86" s="7">
        <v>478225.19</v>
      </c>
      <c r="AF86" s="7">
        <v>493</v>
      </c>
      <c r="AG86" s="7">
        <v>464</v>
      </c>
      <c r="AH86" s="12">
        <v>493</v>
      </c>
    </row>
    <row r="87" spans="1:34" ht="21" hidden="1" x14ac:dyDescent="0.25">
      <c r="A87" s="11">
        <v>20</v>
      </c>
      <c r="B87" s="8" t="s">
        <v>30</v>
      </c>
      <c r="C87" s="7">
        <v>1573</v>
      </c>
      <c r="D87" s="8" t="s">
        <v>106</v>
      </c>
      <c r="E87" s="8" t="s">
        <v>11</v>
      </c>
      <c r="F87" s="8" t="s">
        <v>12</v>
      </c>
      <c r="G87" s="7">
        <v>45000</v>
      </c>
      <c r="H87" s="7">
        <v>40</v>
      </c>
      <c r="I87" s="7">
        <v>40</v>
      </c>
      <c r="J87" s="7">
        <v>18879.11</v>
      </c>
      <c r="K87" s="7">
        <v>13478.973811</v>
      </c>
      <c r="L87" s="7">
        <v>0</v>
      </c>
      <c r="M87" s="7">
        <v>28.6</v>
      </c>
      <c r="N87" s="7">
        <v>38.06</v>
      </c>
      <c r="O87" s="7">
        <v>357495.26</v>
      </c>
      <c r="P87" s="7">
        <v>269497.492899</v>
      </c>
      <c r="Q87" s="7">
        <v>0</v>
      </c>
      <c r="R87" s="7">
        <v>24.62</v>
      </c>
      <c r="S87" s="7">
        <v>17</v>
      </c>
      <c r="T87" s="7">
        <v>22</v>
      </c>
      <c r="U87" s="7">
        <v>22</v>
      </c>
      <c r="V87" s="7">
        <v>138</v>
      </c>
      <c r="W87" s="7">
        <v>10.15</v>
      </c>
      <c r="X87" s="7">
        <v>45000</v>
      </c>
      <c r="Y87" s="7">
        <v>608.74</v>
      </c>
      <c r="Z87" s="7">
        <v>0</v>
      </c>
      <c r="AA87" s="7">
        <v>32.26</v>
      </c>
      <c r="AB87" s="7">
        <v>2975</v>
      </c>
      <c r="AC87" s="7">
        <v>336000</v>
      </c>
      <c r="AD87" s="7">
        <v>336000</v>
      </c>
      <c r="AE87" s="7">
        <v>126500.95</v>
      </c>
      <c r="AF87" s="7">
        <v>285</v>
      </c>
      <c r="AG87" s="7">
        <v>122</v>
      </c>
      <c r="AH87" s="12">
        <v>285</v>
      </c>
    </row>
    <row r="88" spans="1:34" ht="31.5" hidden="1" x14ac:dyDescent="0.25">
      <c r="A88" s="11">
        <v>14</v>
      </c>
      <c r="B88" s="8" t="s">
        <v>31</v>
      </c>
      <c r="C88" s="7">
        <v>1574</v>
      </c>
      <c r="D88" s="8" t="s">
        <v>107</v>
      </c>
      <c r="E88" s="8" t="s">
        <v>11</v>
      </c>
      <c r="F88" s="8" t="s">
        <v>12</v>
      </c>
      <c r="G88" s="7">
        <v>45000</v>
      </c>
      <c r="H88" s="7">
        <v>40</v>
      </c>
      <c r="I88" s="7">
        <v>40</v>
      </c>
      <c r="J88" s="7">
        <v>32278.720000000001</v>
      </c>
      <c r="K88" s="7">
        <v>23087.616156</v>
      </c>
      <c r="L88" s="7">
        <v>0</v>
      </c>
      <c r="M88" s="7">
        <v>28.47</v>
      </c>
      <c r="N88" s="7">
        <v>41.31</v>
      </c>
      <c r="O88" s="7">
        <v>104076.27</v>
      </c>
      <c r="P88" s="7">
        <v>75025.615919999997</v>
      </c>
      <c r="Q88" s="7">
        <v>0</v>
      </c>
      <c r="R88" s="7">
        <v>27.91</v>
      </c>
      <c r="S88" s="7">
        <v>25</v>
      </c>
      <c r="T88" s="7">
        <v>22</v>
      </c>
      <c r="U88" s="7">
        <v>22</v>
      </c>
      <c r="V88" s="7">
        <v>162</v>
      </c>
      <c r="W88" s="7">
        <v>7.68</v>
      </c>
      <c r="X88" s="7">
        <v>45000</v>
      </c>
      <c r="Y88" s="7">
        <v>0</v>
      </c>
      <c r="Z88" s="7">
        <v>0</v>
      </c>
      <c r="AA88" s="7">
        <v>37.590000000000003</v>
      </c>
      <c r="AB88" s="7">
        <v>2975</v>
      </c>
      <c r="AC88" s="7">
        <v>135000</v>
      </c>
      <c r="AD88" s="7">
        <v>135000</v>
      </c>
      <c r="AE88" s="7">
        <v>78120.460000000006</v>
      </c>
      <c r="AF88" s="7">
        <v>120</v>
      </c>
      <c r="AG88" s="7">
        <v>60</v>
      </c>
      <c r="AH88" s="12">
        <v>120</v>
      </c>
    </row>
    <row r="89" spans="1:34" ht="31.5" hidden="1" x14ac:dyDescent="0.25">
      <c r="A89" s="11">
        <v>14</v>
      </c>
      <c r="B89" s="8" t="s">
        <v>31</v>
      </c>
      <c r="C89" s="7">
        <v>1576</v>
      </c>
      <c r="D89" s="8" t="s">
        <v>159</v>
      </c>
      <c r="E89" s="8" t="s">
        <v>11</v>
      </c>
      <c r="F89" s="8" t="s">
        <v>12</v>
      </c>
      <c r="G89" s="7">
        <v>0</v>
      </c>
      <c r="H89" s="7">
        <v>0</v>
      </c>
      <c r="I89" s="7">
        <v>0</v>
      </c>
      <c r="J89" s="7">
        <v>4281.92</v>
      </c>
      <c r="K89" s="7">
        <v>3061.6661730000001</v>
      </c>
      <c r="L89" s="7">
        <v>0</v>
      </c>
      <c r="M89" s="7">
        <v>28.5</v>
      </c>
      <c r="N89" s="7">
        <v>26.99</v>
      </c>
      <c r="O89" s="7">
        <v>104076.27</v>
      </c>
      <c r="P89" s="7">
        <v>75025.615919999997</v>
      </c>
      <c r="Q89" s="7">
        <v>0</v>
      </c>
      <c r="R89" s="7">
        <v>27.91</v>
      </c>
      <c r="S89" s="7">
        <v>6</v>
      </c>
      <c r="T89" s="7">
        <v>22</v>
      </c>
      <c r="U89" s="7">
        <v>22</v>
      </c>
      <c r="V89" s="7">
        <v>33</v>
      </c>
      <c r="W89" s="7">
        <v>5.5</v>
      </c>
      <c r="X89" s="7">
        <v>0</v>
      </c>
      <c r="Y89" s="7">
        <v>0</v>
      </c>
      <c r="Z89" s="7">
        <v>0</v>
      </c>
      <c r="AA89" s="7">
        <v>37.590000000000003</v>
      </c>
      <c r="AB89" s="7">
        <v>2975</v>
      </c>
      <c r="AC89" s="7">
        <v>135000</v>
      </c>
      <c r="AD89" s="7">
        <v>135000</v>
      </c>
      <c r="AE89" s="7">
        <v>78120.460000000006</v>
      </c>
      <c r="AF89" s="7">
        <v>120</v>
      </c>
      <c r="AG89" s="7">
        <v>60</v>
      </c>
      <c r="AH89" s="12">
        <v>120</v>
      </c>
    </row>
    <row r="90" spans="1:34" ht="21" hidden="1" x14ac:dyDescent="0.25">
      <c r="A90" s="11">
        <v>12</v>
      </c>
      <c r="B90" s="8" t="s">
        <v>14</v>
      </c>
      <c r="C90" s="7">
        <v>1577</v>
      </c>
      <c r="D90" s="8" t="s">
        <v>108</v>
      </c>
      <c r="E90" s="8" t="s">
        <v>11</v>
      </c>
      <c r="F90" s="8" t="s">
        <v>12</v>
      </c>
      <c r="G90" s="7">
        <v>51000</v>
      </c>
      <c r="H90" s="7">
        <v>60</v>
      </c>
      <c r="I90" s="7">
        <v>60</v>
      </c>
      <c r="J90" s="7">
        <v>6567.47</v>
      </c>
      <c r="K90" s="7">
        <v>5109.3465560000004</v>
      </c>
      <c r="L90" s="7">
        <v>0</v>
      </c>
      <c r="M90" s="7">
        <v>22.2</v>
      </c>
      <c r="N90" s="7">
        <v>13.24</v>
      </c>
      <c r="O90" s="7">
        <v>230629.95</v>
      </c>
      <c r="P90" s="7">
        <v>175794.35781799999</v>
      </c>
      <c r="Q90" s="7">
        <v>0</v>
      </c>
      <c r="R90" s="7">
        <v>23.78</v>
      </c>
      <c r="S90" s="7">
        <v>17</v>
      </c>
      <c r="T90" s="7">
        <v>22</v>
      </c>
      <c r="U90" s="7">
        <v>22</v>
      </c>
      <c r="V90" s="7">
        <v>85</v>
      </c>
      <c r="W90" s="7">
        <v>5.95</v>
      </c>
      <c r="X90" s="7">
        <v>51000</v>
      </c>
      <c r="Y90" s="7">
        <v>241.37</v>
      </c>
      <c r="Z90" s="7">
        <v>1</v>
      </c>
      <c r="AA90" s="7">
        <v>28.96</v>
      </c>
      <c r="AB90" s="7">
        <v>2975</v>
      </c>
      <c r="AC90" s="7">
        <v>700000</v>
      </c>
      <c r="AD90" s="7">
        <v>700000</v>
      </c>
      <c r="AE90" s="7">
        <v>256957.81</v>
      </c>
      <c r="AF90" s="7">
        <v>785</v>
      </c>
      <c r="AG90" s="7">
        <v>326</v>
      </c>
      <c r="AH90" s="12">
        <v>785</v>
      </c>
    </row>
    <row r="91" spans="1:34" ht="21" hidden="1" x14ac:dyDescent="0.25">
      <c r="A91" s="11">
        <v>6</v>
      </c>
      <c r="B91" s="8" t="s">
        <v>142</v>
      </c>
      <c r="C91" s="7">
        <v>1578</v>
      </c>
      <c r="D91" s="8" t="s">
        <v>160</v>
      </c>
      <c r="E91" s="8" t="s">
        <v>11</v>
      </c>
      <c r="F91" s="8" t="s">
        <v>12</v>
      </c>
      <c r="G91" s="7">
        <v>0</v>
      </c>
      <c r="H91" s="7">
        <v>0</v>
      </c>
      <c r="I91" s="7">
        <v>0</v>
      </c>
      <c r="J91" s="7">
        <v>25085.98</v>
      </c>
      <c r="K91" s="7">
        <v>19104.141995000002</v>
      </c>
      <c r="L91" s="7">
        <v>0</v>
      </c>
      <c r="M91" s="7">
        <v>23.85</v>
      </c>
      <c r="N91" s="7">
        <v>16.579999999999998</v>
      </c>
      <c r="O91" s="7">
        <v>595843.36</v>
      </c>
      <c r="P91" s="7">
        <v>450944.50232500001</v>
      </c>
      <c r="Q91" s="7">
        <v>0</v>
      </c>
      <c r="R91" s="7">
        <v>24.32</v>
      </c>
      <c r="S91" s="7">
        <v>26</v>
      </c>
      <c r="T91" s="7">
        <v>22</v>
      </c>
      <c r="U91" s="7">
        <v>22</v>
      </c>
      <c r="V91" s="7">
        <v>271</v>
      </c>
      <c r="W91" s="7">
        <v>13.03</v>
      </c>
      <c r="X91" s="7">
        <v>0</v>
      </c>
      <c r="Y91" s="7">
        <v>1816.04</v>
      </c>
      <c r="Z91" s="7">
        <v>0</v>
      </c>
      <c r="AA91" s="7">
        <v>19.489999999999998</v>
      </c>
      <c r="AB91" s="7">
        <v>2975</v>
      </c>
      <c r="AC91" s="7">
        <v>1051000</v>
      </c>
      <c r="AD91" s="7">
        <v>1051000</v>
      </c>
      <c r="AE91" s="7">
        <v>798720.49</v>
      </c>
      <c r="AF91" s="7">
        <v>908</v>
      </c>
      <c r="AG91" s="7">
        <v>697</v>
      </c>
      <c r="AH91" s="12">
        <v>908</v>
      </c>
    </row>
    <row r="92" spans="1:34" hidden="1" x14ac:dyDescent="0.25">
      <c r="A92" s="11">
        <v>2</v>
      </c>
      <c r="B92" s="8" t="s">
        <v>10</v>
      </c>
      <c r="C92" s="7">
        <v>1580</v>
      </c>
      <c r="D92" s="8" t="s">
        <v>109</v>
      </c>
      <c r="E92" s="8" t="s">
        <v>11</v>
      </c>
      <c r="F92" s="8" t="s">
        <v>12</v>
      </c>
      <c r="G92" s="7">
        <v>65000</v>
      </c>
      <c r="H92" s="7">
        <v>50</v>
      </c>
      <c r="I92" s="7">
        <v>50</v>
      </c>
      <c r="J92" s="7">
        <v>17207.009999999998</v>
      </c>
      <c r="K92" s="7">
        <v>12545.033187000001</v>
      </c>
      <c r="L92" s="7">
        <v>0</v>
      </c>
      <c r="M92" s="7">
        <v>27.09</v>
      </c>
      <c r="N92" s="7">
        <v>22.9</v>
      </c>
      <c r="O92" s="7">
        <v>985449.1</v>
      </c>
      <c r="P92" s="7">
        <v>729210.20780199999</v>
      </c>
      <c r="Q92" s="7">
        <v>0</v>
      </c>
      <c r="R92" s="7">
        <v>26</v>
      </c>
      <c r="S92" s="7">
        <v>15</v>
      </c>
      <c r="T92" s="7">
        <v>22</v>
      </c>
      <c r="U92" s="7">
        <v>22</v>
      </c>
      <c r="V92" s="7">
        <v>160</v>
      </c>
      <c r="W92" s="7">
        <v>11.35</v>
      </c>
      <c r="X92" s="7">
        <v>65000</v>
      </c>
      <c r="Y92" s="7">
        <v>400.64</v>
      </c>
      <c r="Z92" s="7">
        <v>0</v>
      </c>
      <c r="AA92" s="7">
        <v>20.39</v>
      </c>
      <c r="AB92" s="7">
        <v>2975</v>
      </c>
      <c r="AC92" s="7">
        <v>1336000</v>
      </c>
      <c r="AD92" s="7">
        <v>1336000</v>
      </c>
      <c r="AE92" s="7">
        <v>1067042.8500000001</v>
      </c>
      <c r="AF92" s="7">
        <v>862</v>
      </c>
      <c r="AG92" s="7">
        <v>676</v>
      </c>
      <c r="AH92" s="12">
        <v>862</v>
      </c>
    </row>
    <row r="93" spans="1:34" ht="21" hidden="1" x14ac:dyDescent="0.25">
      <c r="A93" s="11">
        <v>5</v>
      </c>
      <c r="B93" s="8" t="s">
        <v>143</v>
      </c>
      <c r="C93" s="7">
        <v>1581</v>
      </c>
      <c r="D93" s="8" t="s">
        <v>110</v>
      </c>
      <c r="E93" s="8" t="s">
        <v>11</v>
      </c>
      <c r="F93" s="8" t="s">
        <v>12</v>
      </c>
      <c r="G93" s="7">
        <v>60000</v>
      </c>
      <c r="H93" s="7">
        <v>70</v>
      </c>
      <c r="I93" s="7">
        <v>70</v>
      </c>
      <c r="J93" s="7">
        <v>11949.27</v>
      </c>
      <c r="K93" s="7">
        <v>9094.3331830000006</v>
      </c>
      <c r="L93" s="7">
        <v>0</v>
      </c>
      <c r="M93" s="7">
        <v>23.89</v>
      </c>
      <c r="N93" s="7">
        <v>10.63</v>
      </c>
      <c r="O93" s="7">
        <v>283650.64</v>
      </c>
      <c r="P93" s="7">
        <v>214409.30452199999</v>
      </c>
      <c r="Q93" s="7">
        <v>0</v>
      </c>
      <c r="R93" s="7">
        <v>24.41</v>
      </c>
      <c r="S93" s="7">
        <v>23</v>
      </c>
      <c r="T93" s="7">
        <v>22</v>
      </c>
      <c r="U93" s="7">
        <v>22</v>
      </c>
      <c r="V93" s="7">
        <v>181</v>
      </c>
      <c r="W93" s="7">
        <v>13.6</v>
      </c>
      <c r="X93" s="7">
        <v>60000</v>
      </c>
      <c r="Y93" s="7">
        <v>0</v>
      </c>
      <c r="Z93" s="7">
        <v>0</v>
      </c>
      <c r="AA93" s="7">
        <v>24.18</v>
      </c>
      <c r="AB93" s="7">
        <v>2975</v>
      </c>
      <c r="AC93" s="7">
        <v>570000</v>
      </c>
      <c r="AD93" s="7">
        <v>570000</v>
      </c>
      <c r="AE93" s="7">
        <v>257322.78</v>
      </c>
      <c r="AF93" s="7">
        <v>340</v>
      </c>
      <c r="AG93" s="7">
        <v>127</v>
      </c>
      <c r="AH93" s="12">
        <v>340</v>
      </c>
    </row>
    <row r="94" spans="1:34" ht="21" hidden="1" x14ac:dyDescent="0.25">
      <c r="A94" s="11">
        <v>12</v>
      </c>
      <c r="B94" s="8" t="s">
        <v>14</v>
      </c>
      <c r="C94" s="7">
        <v>1582</v>
      </c>
      <c r="D94" s="8" t="s">
        <v>111</v>
      </c>
      <c r="E94" s="8" t="s">
        <v>11</v>
      </c>
      <c r="F94" s="8" t="s">
        <v>12</v>
      </c>
      <c r="G94" s="7">
        <v>51000</v>
      </c>
      <c r="H94" s="7">
        <v>60</v>
      </c>
      <c r="I94" s="7">
        <v>60</v>
      </c>
      <c r="J94" s="7">
        <v>36822.42</v>
      </c>
      <c r="K94" s="7">
        <v>29391.587278999999</v>
      </c>
      <c r="L94" s="7">
        <v>0</v>
      </c>
      <c r="M94" s="7">
        <v>20.18</v>
      </c>
      <c r="N94" s="7">
        <v>20.190000000000001</v>
      </c>
      <c r="O94" s="7">
        <v>230629.95</v>
      </c>
      <c r="P94" s="7">
        <v>175794.35781799999</v>
      </c>
      <c r="Q94" s="7">
        <v>0</v>
      </c>
      <c r="R94" s="7">
        <v>23.78</v>
      </c>
      <c r="S94" s="7">
        <v>33</v>
      </c>
      <c r="T94" s="7">
        <v>22</v>
      </c>
      <c r="U94" s="7">
        <v>22</v>
      </c>
      <c r="V94" s="7">
        <v>139</v>
      </c>
      <c r="W94" s="7">
        <v>7.18</v>
      </c>
      <c r="X94" s="7">
        <v>51000</v>
      </c>
      <c r="Y94" s="7">
        <v>440.77</v>
      </c>
      <c r="Z94" s="7">
        <v>2</v>
      </c>
      <c r="AA94" s="7">
        <v>28.96</v>
      </c>
      <c r="AB94" s="7">
        <v>2975</v>
      </c>
      <c r="AC94" s="7">
        <v>700000</v>
      </c>
      <c r="AD94" s="7">
        <v>700000</v>
      </c>
      <c r="AE94" s="7">
        <v>256957.81</v>
      </c>
      <c r="AF94" s="7">
        <v>785</v>
      </c>
      <c r="AG94" s="7">
        <v>326</v>
      </c>
      <c r="AH94" s="12">
        <v>785</v>
      </c>
    </row>
    <row r="95" spans="1:34" ht="21" hidden="1" x14ac:dyDescent="0.25">
      <c r="A95" s="11">
        <v>4</v>
      </c>
      <c r="B95" s="8" t="s">
        <v>15</v>
      </c>
      <c r="C95" s="7">
        <v>1583</v>
      </c>
      <c r="D95" s="8" t="s">
        <v>112</v>
      </c>
      <c r="E95" s="8" t="s">
        <v>11</v>
      </c>
      <c r="F95" s="8" t="s">
        <v>12</v>
      </c>
      <c r="G95" s="7">
        <v>45000</v>
      </c>
      <c r="H95" s="7">
        <v>40</v>
      </c>
      <c r="I95" s="7">
        <v>40</v>
      </c>
      <c r="J95" s="7">
        <v>25955.81</v>
      </c>
      <c r="K95" s="7">
        <v>18695.625574999998</v>
      </c>
      <c r="L95" s="7">
        <v>0</v>
      </c>
      <c r="M95" s="7">
        <v>27.97</v>
      </c>
      <c r="N95" s="7">
        <v>33.42</v>
      </c>
      <c r="O95" s="7">
        <v>589256.66</v>
      </c>
      <c r="P95" s="7">
        <v>426378.094323</v>
      </c>
      <c r="Q95" s="7">
        <v>0</v>
      </c>
      <c r="R95" s="7">
        <v>27.64</v>
      </c>
      <c r="S95" s="7">
        <v>30</v>
      </c>
      <c r="T95" s="7">
        <v>22</v>
      </c>
      <c r="U95" s="7">
        <v>22</v>
      </c>
      <c r="V95" s="7">
        <v>145</v>
      </c>
      <c r="W95" s="7">
        <v>6</v>
      </c>
      <c r="X95" s="7">
        <v>45000</v>
      </c>
      <c r="Y95" s="7">
        <v>274.19</v>
      </c>
      <c r="Z95" s="7">
        <v>3</v>
      </c>
      <c r="AA95" s="7">
        <v>22.75</v>
      </c>
      <c r="AB95" s="7">
        <v>2975</v>
      </c>
      <c r="AC95" s="7">
        <v>755000</v>
      </c>
      <c r="AD95" s="7">
        <v>755000</v>
      </c>
      <c r="AE95" s="7">
        <v>615212.47</v>
      </c>
      <c r="AF95" s="7">
        <v>463</v>
      </c>
      <c r="AG95" s="7">
        <v>396</v>
      </c>
      <c r="AH95" s="12">
        <v>463</v>
      </c>
    </row>
    <row r="96" spans="1:34" ht="21" hidden="1" x14ac:dyDescent="0.25">
      <c r="A96" s="11">
        <v>12</v>
      </c>
      <c r="B96" s="8" t="s">
        <v>14</v>
      </c>
      <c r="C96" s="7">
        <v>1584</v>
      </c>
      <c r="D96" s="8" t="s">
        <v>113</v>
      </c>
      <c r="E96" s="8" t="s">
        <v>11</v>
      </c>
      <c r="F96" s="8" t="s">
        <v>12</v>
      </c>
      <c r="G96" s="7">
        <v>40000</v>
      </c>
      <c r="H96" s="7">
        <v>45</v>
      </c>
      <c r="I96" s="7">
        <v>45</v>
      </c>
      <c r="J96" s="7">
        <v>7209.61</v>
      </c>
      <c r="K96" s="7">
        <v>5573.1087600000001</v>
      </c>
      <c r="L96" s="7">
        <v>0</v>
      </c>
      <c r="M96" s="7">
        <v>22.7</v>
      </c>
      <c r="N96" s="7">
        <v>15.56</v>
      </c>
      <c r="O96" s="7">
        <v>230629.95</v>
      </c>
      <c r="P96" s="7">
        <v>175794.35781799999</v>
      </c>
      <c r="Q96" s="7">
        <v>0</v>
      </c>
      <c r="R96" s="7">
        <v>23.78</v>
      </c>
      <c r="S96" s="7">
        <v>11</v>
      </c>
      <c r="T96" s="7">
        <v>22</v>
      </c>
      <c r="U96" s="7">
        <v>22</v>
      </c>
      <c r="V96" s="7">
        <v>75</v>
      </c>
      <c r="W96" s="7">
        <v>12.18</v>
      </c>
      <c r="X96" s="7">
        <v>40000</v>
      </c>
      <c r="Y96" s="7">
        <v>0</v>
      </c>
      <c r="Z96" s="7">
        <v>0</v>
      </c>
      <c r="AA96" s="7">
        <v>28.96</v>
      </c>
      <c r="AB96" s="7">
        <v>2975</v>
      </c>
      <c r="AC96" s="7">
        <v>700000</v>
      </c>
      <c r="AD96" s="7">
        <v>700000</v>
      </c>
      <c r="AE96" s="7">
        <v>256957.81</v>
      </c>
      <c r="AF96" s="7">
        <v>785</v>
      </c>
      <c r="AG96" s="7">
        <v>326</v>
      </c>
      <c r="AH96" s="12">
        <v>785</v>
      </c>
    </row>
    <row r="97" spans="1:34" ht="21" hidden="1" x14ac:dyDescent="0.25">
      <c r="A97" s="11">
        <v>6</v>
      </c>
      <c r="B97" s="8" t="s">
        <v>142</v>
      </c>
      <c r="C97" s="7">
        <v>1585</v>
      </c>
      <c r="D97" s="8" t="s">
        <v>90</v>
      </c>
      <c r="E97" s="8" t="s">
        <v>11</v>
      </c>
      <c r="F97" s="8" t="s">
        <v>12</v>
      </c>
      <c r="G97" s="7">
        <v>35000</v>
      </c>
      <c r="H97" s="7">
        <v>35</v>
      </c>
      <c r="I97" s="7">
        <v>35</v>
      </c>
      <c r="J97" s="7">
        <v>24151.55</v>
      </c>
      <c r="K97" s="7">
        <v>17743.067928</v>
      </c>
      <c r="L97" s="7">
        <v>0</v>
      </c>
      <c r="M97" s="7">
        <v>26.53</v>
      </c>
      <c r="N97" s="7">
        <v>19.489999999999998</v>
      </c>
      <c r="O97" s="7">
        <v>595843.36</v>
      </c>
      <c r="P97" s="7">
        <v>450944.50232500001</v>
      </c>
      <c r="Q97" s="7">
        <v>0</v>
      </c>
      <c r="R97" s="7">
        <v>24.32</v>
      </c>
      <c r="S97" s="7">
        <v>35</v>
      </c>
      <c r="T97" s="7">
        <v>22</v>
      </c>
      <c r="U97" s="7">
        <v>22</v>
      </c>
      <c r="V97" s="7">
        <v>256</v>
      </c>
      <c r="W97" s="7">
        <v>11.69</v>
      </c>
      <c r="X97" s="7">
        <v>35000</v>
      </c>
      <c r="Y97" s="7">
        <v>31.41</v>
      </c>
      <c r="Z97" s="7">
        <v>0</v>
      </c>
      <c r="AA97" s="7">
        <v>19.489999999999998</v>
      </c>
      <c r="AB97" s="7">
        <v>2975</v>
      </c>
      <c r="AC97" s="7">
        <v>1051000</v>
      </c>
      <c r="AD97" s="7">
        <v>1051000</v>
      </c>
      <c r="AE97" s="7">
        <v>798720.49</v>
      </c>
      <c r="AF97" s="7">
        <v>908</v>
      </c>
      <c r="AG97" s="7">
        <v>697</v>
      </c>
      <c r="AH97" s="12">
        <v>908</v>
      </c>
    </row>
    <row r="98" spans="1:34" ht="21" hidden="1" x14ac:dyDescent="0.25">
      <c r="A98" s="11">
        <v>12</v>
      </c>
      <c r="B98" s="8" t="s">
        <v>14</v>
      </c>
      <c r="C98" s="7">
        <v>1586</v>
      </c>
      <c r="D98" s="8" t="s">
        <v>55</v>
      </c>
      <c r="E98" s="8" t="s">
        <v>11</v>
      </c>
      <c r="F98" s="8" t="s">
        <v>12</v>
      </c>
      <c r="G98" s="7">
        <v>51000</v>
      </c>
      <c r="H98" s="7">
        <v>60</v>
      </c>
      <c r="I98" s="7">
        <v>60</v>
      </c>
      <c r="J98" s="7">
        <v>21986.76</v>
      </c>
      <c r="K98" s="7">
        <v>16951.607798000001</v>
      </c>
      <c r="L98" s="7">
        <v>0</v>
      </c>
      <c r="M98" s="7">
        <v>22.9</v>
      </c>
      <c r="N98" s="7">
        <v>11.45</v>
      </c>
      <c r="O98" s="7">
        <v>230629.95</v>
      </c>
      <c r="P98" s="7">
        <v>175794.35781799999</v>
      </c>
      <c r="Q98" s="7">
        <v>0</v>
      </c>
      <c r="R98" s="7">
        <v>23.78</v>
      </c>
      <c r="S98" s="7">
        <v>36</v>
      </c>
      <c r="T98" s="7">
        <v>22</v>
      </c>
      <c r="U98" s="7">
        <v>22</v>
      </c>
      <c r="V98" s="7">
        <v>147</v>
      </c>
      <c r="W98" s="7">
        <v>5.96</v>
      </c>
      <c r="X98" s="7">
        <v>51000</v>
      </c>
      <c r="Y98" s="7">
        <v>1323.14</v>
      </c>
      <c r="Z98" s="7">
        <v>0</v>
      </c>
      <c r="AA98" s="7">
        <v>28.96</v>
      </c>
      <c r="AB98" s="7">
        <v>2975</v>
      </c>
      <c r="AC98" s="7">
        <v>700000</v>
      </c>
      <c r="AD98" s="7">
        <v>700000</v>
      </c>
      <c r="AE98" s="7">
        <v>256957.81</v>
      </c>
      <c r="AF98" s="7">
        <v>785</v>
      </c>
      <c r="AG98" s="7">
        <v>326</v>
      </c>
      <c r="AH98" s="12">
        <v>785</v>
      </c>
    </row>
    <row r="99" spans="1:34" ht="21" hidden="1" x14ac:dyDescent="0.25">
      <c r="A99" s="11">
        <v>6</v>
      </c>
      <c r="B99" s="8" t="s">
        <v>142</v>
      </c>
      <c r="C99" s="7">
        <v>1587</v>
      </c>
      <c r="D99" s="8" t="s">
        <v>58</v>
      </c>
      <c r="E99" s="8" t="s">
        <v>11</v>
      </c>
      <c r="F99" s="8" t="s">
        <v>12</v>
      </c>
      <c r="G99" s="7">
        <v>40000</v>
      </c>
      <c r="H99" s="7">
        <v>40</v>
      </c>
      <c r="I99" s="7">
        <v>40</v>
      </c>
      <c r="J99" s="7">
        <v>18316.09</v>
      </c>
      <c r="K99" s="7">
        <v>13711.880534</v>
      </c>
      <c r="L99" s="7">
        <v>0</v>
      </c>
      <c r="M99" s="7">
        <v>25.14</v>
      </c>
      <c r="N99" s="7">
        <v>21.11</v>
      </c>
      <c r="O99" s="7">
        <v>595843.36</v>
      </c>
      <c r="P99" s="7">
        <v>450944.50232500001</v>
      </c>
      <c r="Q99" s="7">
        <v>0</v>
      </c>
      <c r="R99" s="7">
        <v>24.32</v>
      </c>
      <c r="S99" s="7">
        <v>39</v>
      </c>
      <c r="T99" s="7">
        <v>22</v>
      </c>
      <c r="U99" s="7">
        <v>22</v>
      </c>
      <c r="V99" s="7">
        <v>156</v>
      </c>
      <c r="W99" s="7">
        <v>8.4499999999999993</v>
      </c>
      <c r="X99" s="7">
        <v>40000</v>
      </c>
      <c r="Y99" s="7">
        <v>0</v>
      </c>
      <c r="Z99" s="7">
        <v>0</v>
      </c>
      <c r="AA99" s="7">
        <v>19.489999999999998</v>
      </c>
      <c r="AB99" s="7">
        <v>2975</v>
      </c>
      <c r="AC99" s="7">
        <v>1051000</v>
      </c>
      <c r="AD99" s="7">
        <v>1051000</v>
      </c>
      <c r="AE99" s="7">
        <v>798720.49</v>
      </c>
      <c r="AF99" s="7">
        <v>908</v>
      </c>
      <c r="AG99" s="7">
        <v>697</v>
      </c>
      <c r="AH99" s="12">
        <v>908</v>
      </c>
    </row>
    <row r="100" spans="1:34" ht="31.5" hidden="1" x14ac:dyDescent="0.25">
      <c r="A100" s="11">
        <v>14</v>
      </c>
      <c r="B100" s="8" t="s">
        <v>31</v>
      </c>
      <c r="C100" s="7">
        <v>1588</v>
      </c>
      <c r="D100" s="8" t="s">
        <v>69</v>
      </c>
      <c r="E100" s="8" t="s">
        <v>11</v>
      </c>
      <c r="F100" s="8" t="s">
        <v>12</v>
      </c>
      <c r="G100" s="7">
        <v>45000</v>
      </c>
      <c r="H100" s="7">
        <v>40</v>
      </c>
      <c r="I100" s="7">
        <v>40</v>
      </c>
      <c r="J100" s="7">
        <v>26943.41</v>
      </c>
      <c r="K100" s="7">
        <v>19353.602043999999</v>
      </c>
      <c r="L100" s="7">
        <v>0</v>
      </c>
      <c r="M100" s="7">
        <v>28.17</v>
      </c>
      <c r="N100" s="7">
        <v>42.17</v>
      </c>
      <c r="O100" s="7">
        <v>104076.27</v>
      </c>
      <c r="P100" s="7">
        <v>75025.615919999997</v>
      </c>
      <c r="Q100" s="7">
        <v>0</v>
      </c>
      <c r="R100" s="7">
        <v>27.91</v>
      </c>
      <c r="S100" s="7">
        <v>21</v>
      </c>
      <c r="T100" s="7">
        <v>22</v>
      </c>
      <c r="U100" s="7">
        <v>22</v>
      </c>
      <c r="V100" s="7">
        <v>160</v>
      </c>
      <c r="W100" s="7">
        <v>10.19</v>
      </c>
      <c r="X100" s="7">
        <v>45000</v>
      </c>
      <c r="Y100" s="7">
        <v>0</v>
      </c>
      <c r="Z100" s="7">
        <v>0</v>
      </c>
      <c r="AA100" s="7">
        <v>37.590000000000003</v>
      </c>
      <c r="AB100" s="7">
        <v>2975</v>
      </c>
      <c r="AC100" s="7">
        <v>135000</v>
      </c>
      <c r="AD100" s="7">
        <v>135000</v>
      </c>
      <c r="AE100" s="7">
        <v>78120.460000000006</v>
      </c>
      <c r="AF100" s="7">
        <v>120</v>
      </c>
      <c r="AG100" s="7">
        <v>60</v>
      </c>
      <c r="AH100" s="12">
        <v>120</v>
      </c>
    </row>
    <row r="101" spans="1:34" ht="21" hidden="1" x14ac:dyDescent="0.25">
      <c r="A101" s="11">
        <v>10</v>
      </c>
      <c r="B101" s="8" t="s">
        <v>180</v>
      </c>
      <c r="C101" s="7">
        <v>1589</v>
      </c>
      <c r="D101" s="8" t="s">
        <v>114</v>
      </c>
      <c r="E101" s="8" t="s">
        <v>11</v>
      </c>
      <c r="F101" s="8" t="s">
        <v>12</v>
      </c>
      <c r="G101" s="7">
        <v>45000</v>
      </c>
      <c r="H101" s="7">
        <v>40</v>
      </c>
      <c r="I101" s="7">
        <v>40</v>
      </c>
      <c r="J101" s="7">
        <v>18576.61</v>
      </c>
      <c r="K101" s="7">
        <v>14046.946531</v>
      </c>
      <c r="L101" s="7">
        <v>0</v>
      </c>
      <c r="M101" s="7">
        <v>24.38</v>
      </c>
      <c r="N101" s="7">
        <v>37.97</v>
      </c>
      <c r="O101" s="7">
        <v>675229.49</v>
      </c>
      <c r="P101" s="7">
        <v>507872.78409500001</v>
      </c>
      <c r="Q101" s="7">
        <v>0</v>
      </c>
      <c r="R101" s="7">
        <v>24.79</v>
      </c>
      <c r="S101" s="7">
        <v>20</v>
      </c>
      <c r="T101" s="7">
        <v>22</v>
      </c>
      <c r="U101" s="7">
        <v>22</v>
      </c>
      <c r="V101" s="7">
        <v>129</v>
      </c>
      <c r="W101" s="7">
        <v>6.42</v>
      </c>
      <c r="X101" s="7">
        <v>45000</v>
      </c>
      <c r="Y101" s="7">
        <v>259.67</v>
      </c>
      <c r="Z101" s="7">
        <v>1</v>
      </c>
      <c r="AA101" s="7">
        <v>19.760000000000002</v>
      </c>
      <c r="AB101" s="7">
        <v>2975</v>
      </c>
      <c r="AC101" s="7">
        <v>678000</v>
      </c>
      <c r="AD101" s="7">
        <v>678000</v>
      </c>
      <c r="AE101" s="7">
        <v>478225.19</v>
      </c>
      <c r="AF101" s="7">
        <v>493</v>
      </c>
      <c r="AG101" s="7">
        <v>464</v>
      </c>
      <c r="AH101" s="12">
        <v>493</v>
      </c>
    </row>
    <row r="102" spans="1:34" ht="21" hidden="1" x14ac:dyDescent="0.25">
      <c r="A102" s="11">
        <v>20</v>
      </c>
      <c r="B102" s="8" t="s">
        <v>30</v>
      </c>
      <c r="C102" s="7">
        <v>1590</v>
      </c>
      <c r="D102" s="8" t="s">
        <v>82</v>
      </c>
      <c r="E102" s="8" t="s">
        <v>11</v>
      </c>
      <c r="F102" s="8" t="s">
        <v>12</v>
      </c>
      <c r="G102" s="7">
        <v>25000</v>
      </c>
      <c r="H102" s="7">
        <v>25</v>
      </c>
      <c r="I102" s="7">
        <v>25</v>
      </c>
      <c r="J102" s="7">
        <v>5010.42</v>
      </c>
      <c r="K102" s="7">
        <v>3640.5680080000002</v>
      </c>
      <c r="L102" s="7">
        <v>0</v>
      </c>
      <c r="M102" s="7">
        <v>27.34</v>
      </c>
      <c r="N102" s="7">
        <v>40.869999999999997</v>
      </c>
      <c r="O102" s="7">
        <v>357495.26</v>
      </c>
      <c r="P102" s="7">
        <v>269497.492899</v>
      </c>
      <c r="Q102" s="7">
        <v>0</v>
      </c>
      <c r="R102" s="7">
        <v>24.62</v>
      </c>
      <c r="S102" s="7">
        <v>5</v>
      </c>
      <c r="T102" s="7">
        <v>22</v>
      </c>
      <c r="U102" s="7">
        <v>22</v>
      </c>
      <c r="V102" s="7">
        <v>26</v>
      </c>
      <c r="W102" s="7">
        <v>4.33</v>
      </c>
      <c r="X102" s="7">
        <v>25000</v>
      </c>
      <c r="Y102" s="7">
        <v>0</v>
      </c>
      <c r="Z102" s="7">
        <v>0</v>
      </c>
      <c r="AA102" s="7">
        <v>32.26</v>
      </c>
      <c r="AB102" s="7">
        <v>2975</v>
      </c>
      <c r="AC102" s="7">
        <v>336000</v>
      </c>
      <c r="AD102" s="7">
        <v>336000</v>
      </c>
      <c r="AE102" s="7">
        <v>126500.95</v>
      </c>
      <c r="AF102" s="7">
        <v>285</v>
      </c>
      <c r="AG102" s="7">
        <v>122</v>
      </c>
      <c r="AH102" s="12">
        <v>285</v>
      </c>
    </row>
    <row r="103" spans="1:34" ht="21" hidden="1" x14ac:dyDescent="0.25">
      <c r="A103" s="11">
        <v>10</v>
      </c>
      <c r="B103" s="8" t="s">
        <v>180</v>
      </c>
      <c r="C103" s="7">
        <v>1591</v>
      </c>
      <c r="D103" s="8" t="s">
        <v>115</v>
      </c>
      <c r="E103" s="8" t="s">
        <v>11</v>
      </c>
      <c r="F103" s="8" t="s">
        <v>12</v>
      </c>
      <c r="G103" s="7">
        <v>25000</v>
      </c>
      <c r="H103" s="7">
        <v>25</v>
      </c>
      <c r="I103" s="7">
        <v>25</v>
      </c>
      <c r="J103" s="7">
        <v>11204.41</v>
      </c>
      <c r="K103" s="7">
        <v>8393.8604680000008</v>
      </c>
      <c r="L103" s="7">
        <v>0</v>
      </c>
      <c r="M103" s="7">
        <v>25.08</v>
      </c>
      <c r="N103" s="7">
        <v>17.7</v>
      </c>
      <c r="O103" s="7">
        <v>675229.49</v>
      </c>
      <c r="P103" s="7">
        <v>507872.78409500001</v>
      </c>
      <c r="Q103" s="7">
        <v>0</v>
      </c>
      <c r="R103" s="7">
        <v>24.79</v>
      </c>
      <c r="S103" s="7">
        <v>16</v>
      </c>
      <c r="T103" s="7">
        <v>22</v>
      </c>
      <c r="U103" s="7">
        <v>22</v>
      </c>
      <c r="V103" s="7">
        <v>113</v>
      </c>
      <c r="W103" s="7">
        <v>12.25</v>
      </c>
      <c r="X103" s="7">
        <v>25000</v>
      </c>
      <c r="Y103" s="7">
        <v>0</v>
      </c>
      <c r="Z103" s="7">
        <v>0</v>
      </c>
      <c r="AA103" s="7">
        <v>19.760000000000002</v>
      </c>
      <c r="AB103" s="7">
        <v>2975</v>
      </c>
      <c r="AC103" s="7">
        <v>678000</v>
      </c>
      <c r="AD103" s="7">
        <v>678000</v>
      </c>
      <c r="AE103" s="7">
        <v>478225.19</v>
      </c>
      <c r="AF103" s="7">
        <v>493</v>
      </c>
      <c r="AG103" s="7">
        <v>464</v>
      </c>
      <c r="AH103" s="12">
        <v>493</v>
      </c>
    </row>
    <row r="104" spans="1:34" ht="31.5" hidden="1" x14ac:dyDescent="0.25">
      <c r="A104" s="11">
        <v>14</v>
      </c>
      <c r="B104" s="8" t="s">
        <v>31</v>
      </c>
      <c r="C104" s="7">
        <v>1592</v>
      </c>
      <c r="D104" s="8" t="s">
        <v>116</v>
      </c>
      <c r="E104" s="8" t="s">
        <v>11</v>
      </c>
      <c r="F104" s="8" t="s">
        <v>12</v>
      </c>
      <c r="G104" s="7">
        <v>25000</v>
      </c>
      <c r="H104" s="7">
        <v>25</v>
      </c>
      <c r="I104" s="7">
        <v>25</v>
      </c>
      <c r="J104" s="7">
        <v>13112.13</v>
      </c>
      <c r="K104" s="7">
        <v>9245.2264890000006</v>
      </c>
      <c r="L104" s="7">
        <v>0</v>
      </c>
      <c r="M104" s="7">
        <v>29.49</v>
      </c>
      <c r="N104" s="7">
        <v>32.549999999999997</v>
      </c>
      <c r="O104" s="7">
        <v>104076.27</v>
      </c>
      <c r="P104" s="7">
        <v>75025.615919999997</v>
      </c>
      <c r="Q104" s="7">
        <v>0</v>
      </c>
      <c r="R104" s="7">
        <v>27.91</v>
      </c>
      <c r="S104" s="7">
        <v>7</v>
      </c>
      <c r="T104" s="7">
        <v>22</v>
      </c>
      <c r="U104" s="7">
        <v>22</v>
      </c>
      <c r="V104" s="7">
        <v>70</v>
      </c>
      <c r="W104" s="7">
        <v>8.6999999999999993</v>
      </c>
      <c r="X104" s="7">
        <v>25000</v>
      </c>
      <c r="Y104" s="7">
        <v>0</v>
      </c>
      <c r="Z104" s="7">
        <v>0</v>
      </c>
      <c r="AA104" s="7">
        <v>37.590000000000003</v>
      </c>
      <c r="AB104" s="7">
        <v>2975</v>
      </c>
      <c r="AC104" s="7">
        <v>135000</v>
      </c>
      <c r="AD104" s="7">
        <v>135000</v>
      </c>
      <c r="AE104" s="7">
        <v>78120.460000000006</v>
      </c>
      <c r="AF104" s="7">
        <v>120</v>
      </c>
      <c r="AG104" s="7">
        <v>60</v>
      </c>
      <c r="AH104" s="12">
        <v>120</v>
      </c>
    </row>
    <row r="105" spans="1:34" ht="21" hidden="1" x14ac:dyDescent="0.25">
      <c r="A105" s="11">
        <v>12</v>
      </c>
      <c r="B105" s="8" t="s">
        <v>14</v>
      </c>
      <c r="C105" s="7">
        <v>1594</v>
      </c>
      <c r="D105" s="8" t="s">
        <v>123</v>
      </c>
      <c r="E105" s="8" t="s">
        <v>11</v>
      </c>
      <c r="F105" s="8" t="s">
        <v>12</v>
      </c>
      <c r="G105" s="7">
        <v>50000</v>
      </c>
      <c r="H105" s="7">
        <v>60</v>
      </c>
      <c r="I105" s="7">
        <v>60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230629.95</v>
      </c>
      <c r="P105" s="7">
        <v>175794.35781799999</v>
      </c>
      <c r="Q105" s="7">
        <v>0</v>
      </c>
      <c r="R105" s="7">
        <v>23.78</v>
      </c>
      <c r="S105" s="7">
        <v>0</v>
      </c>
      <c r="T105" s="7">
        <v>22</v>
      </c>
      <c r="U105" s="7">
        <v>22</v>
      </c>
      <c r="V105" s="7">
        <v>0</v>
      </c>
      <c r="W105" s="7">
        <v>0</v>
      </c>
      <c r="X105" s="7">
        <v>50000</v>
      </c>
      <c r="Y105" s="7">
        <v>0</v>
      </c>
      <c r="Z105" s="7">
        <v>0</v>
      </c>
      <c r="AA105" s="7">
        <v>28.96</v>
      </c>
      <c r="AB105" s="7">
        <v>2975</v>
      </c>
      <c r="AC105" s="7">
        <v>700000</v>
      </c>
      <c r="AD105" s="7">
        <v>700000</v>
      </c>
      <c r="AE105" s="7">
        <v>256957.81</v>
      </c>
      <c r="AF105" s="7">
        <v>785</v>
      </c>
      <c r="AG105" s="7">
        <v>326</v>
      </c>
      <c r="AH105" s="12">
        <v>785</v>
      </c>
    </row>
    <row r="106" spans="1:34" ht="21" hidden="1" x14ac:dyDescent="0.25">
      <c r="A106" s="11">
        <v>12</v>
      </c>
      <c r="B106" s="8" t="s">
        <v>14</v>
      </c>
      <c r="C106" s="7">
        <v>1595</v>
      </c>
      <c r="D106" s="8" t="s">
        <v>168</v>
      </c>
      <c r="E106" s="8" t="s">
        <v>11</v>
      </c>
      <c r="F106" s="8" t="s">
        <v>12</v>
      </c>
      <c r="G106" s="7">
        <v>50000</v>
      </c>
      <c r="H106" s="7">
        <v>60</v>
      </c>
      <c r="I106" s="7">
        <v>60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230629.95</v>
      </c>
      <c r="P106" s="7">
        <v>175794.35781799999</v>
      </c>
      <c r="Q106" s="7">
        <v>0</v>
      </c>
      <c r="R106" s="7">
        <v>23.78</v>
      </c>
      <c r="S106" s="7">
        <v>0</v>
      </c>
      <c r="T106" s="7">
        <v>22</v>
      </c>
      <c r="U106" s="7">
        <v>22</v>
      </c>
      <c r="V106" s="7">
        <v>0</v>
      </c>
      <c r="W106" s="7">
        <v>0</v>
      </c>
      <c r="X106" s="7">
        <v>50000</v>
      </c>
      <c r="Y106" s="7">
        <v>0</v>
      </c>
      <c r="Z106" s="7">
        <v>0</v>
      </c>
      <c r="AA106" s="7">
        <v>28.96</v>
      </c>
      <c r="AB106" s="7">
        <v>2975</v>
      </c>
      <c r="AC106" s="7">
        <v>700000</v>
      </c>
      <c r="AD106" s="7">
        <v>700000</v>
      </c>
      <c r="AE106" s="7">
        <v>256957.81</v>
      </c>
      <c r="AF106" s="7">
        <v>785</v>
      </c>
      <c r="AG106" s="7">
        <v>326</v>
      </c>
      <c r="AH106" s="12">
        <v>785</v>
      </c>
    </row>
    <row r="107" spans="1:34" hidden="1" x14ac:dyDescent="0.25">
      <c r="A107" s="11">
        <v>2</v>
      </c>
      <c r="B107" s="8" t="s">
        <v>10</v>
      </c>
      <c r="C107" s="7">
        <v>28</v>
      </c>
      <c r="D107" s="8" t="s">
        <v>98</v>
      </c>
      <c r="E107" s="8" t="s">
        <v>17</v>
      </c>
      <c r="F107" s="8" t="s">
        <v>12</v>
      </c>
      <c r="G107" s="7">
        <v>45000</v>
      </c>
      <c r="H107" s="7">
        <v>30</v>
      </c>
      <c r="I107" s="7">
        <v>30</v>
      </c>
      <c r="J107" s="7">
        <v>0</v>
      </c>
      <c r="K107" s="7">
        <v>1876.2642000000001</v>
      </c>
      <c r="L107" s="7">
        <v>0</v>
      </c>
      <c r="M107" s="7">
        <v>0</v>
      </c>
      <c r="N107" s="7">
        <v>1</v>
      </c>
      <c r="O107" s="7">
        <v>908207.64</v>
      </c>
      <c r="P107" s="7">
        <v>677234.64758200001</v>
      </c>
      <c r="Q107" s="7">
        <v>0</v>
      </c>
      <c r="R107" s="7">
        <v>25.43</v>
      </c>
      <c r="S107" s="7">
        <v>0</v>
      </c>
      <c r="T107" s="7">
        <v>19</v>
      </c>
      <c r="U107" s="7">
        <v>19</v>
      </c>
      <c r="V107" s="7">
        <v>39</v>
      </c>
      <c r="W107" s="7">
        <v>1.52</v>
      </c>
      <c r="X107" s="7">
        <v>45000</v>
      </c>
      <c r="Y107" s="7">
        <v>0</v>
      </c>
      <c r="Z107" s="7">
        <v>0</v>
      </c>
      <c r="AA107" s="7">
        <v>21.72</v>
      </c>
      <c r="AB107" s="7">
        <v>2782</v>
      </c>
      <c r="AC107" s="7">
        <v>1331000</v>
      </c>
      <c r="AD107" s="7">
        <v>1331000</v>
      </c>
      <c r="AE107" s="7">
        <v>1018464.25</v>
      </c>
      <c r="AF107" s="7">
        <v>845</v>
      </c>
      <c r="AG107" s="7">
        <v>634</v>
      </c>
      <c r="AH107" s="12">
        <v>845</v>
      </c>
    </row>
    <row r="108" spans="1:34" ht="21" hidden="1" x14ac:dyDescent="0.25">
      <c r="A108" s="11">
        <v>10</v>
      </c>
      <c r="B108" s="8" t="s">
        <v>180</v>
      </c>
      <c r="C108" s="7">
        <v>314</v>
      </c>
      <c r="D108" s="8" t="s">
        <v>42</v>
      </c>
      <c r="E108" s="8" t="s">
        <v>17</v>
      </c>
      <c r="F108" s="8" t="s">
        <v>12</v>
      </c>
      <c r="G108" s="7">
        <v>100000</v>
      </c>
      <c r="H108" s="7">
        <v>65</v>
      </c>
      <c r="I108" s="7">
        <v>65</v>
      </c>
      <c r="J108" s="7">
        <v>58562.2</v>
      </c>
      <c r="K108" s="7">
        <v>43821.653143000003</v>
      </c>
      <c r="L108" s="7">
        <v>0</v>
      </c>
      <c r="M108" s="7">
        <v>25.17</v>
      </c>
      <c r="N108" s="7">
        <v>21.91</v>
      </c>
      <c r="O108" s="7">
        <v>612464.30000000005</v>
      </c>
      <c r="P108" s="7">
        <v>455858.53905299999</v>
      </c>
      <c r="Q108" s="7">
        <v>0</v>
      </c>
      <c r="R108" s="7">
        <v>25.57</v>
      </c>
      <c r="S108" s="7">
        <v>69</v>
      </c>
      <c r="T108" s="7">
        <v>19</v>
      </c>
      <c r="U108" s="7">
        <v>19</v>
      </c>
      <c r="V108" s="7">
        <v>301</v>
      </c>
      <c r="W108" s="7">
        <v>8.14</v>
      </c>
      <c r="X108" s="7">
        <v>100000</v>
      </c>
      <c r="Y108" s="7">
        <v>646.75</v>
      </c>
      <c r="Z108" s="7">
        <v>0</v>
      </c>
      <c r="AA108" s="7">
        <v>21.15</v>
      </c>
      <c r="AB108" s="7">
        <v>2782</v>
      </c>
      <c r="AC108" s="7">
        <v>720000</v>
      </c>
      <c r="AD108" s="7">
        <v>720000</v>
      </c>
      <c r="AE108" s="7">
        <v>415422.74</v>
      </c>
      <c r="AF108" s="7">
        <v>525</v>
      </c>
      <c r="AG108" s="7">
        <v>429</v>
      </c>
      <c r="AH108" s="12">
        <v>525</v>
      </c>
    </row>
    <row r="109" spans="1:34" ht="21" hidden="1" x14ac:dyDescent="0.25">
      <c r="A109" s="11">
        <v>4</v>
      </c>
      <c r="B109" s="8" t="s">
        <v>15</v>
      </c>
      <c r="C109" s="7">
        <v>374</v>
      </c>
      <c r="D109" s="8" t="s">
        <v>144</v>
      </c>
      <c r="E109" s="8" t="s">
        <v>17</v>
      </c>
      <c r="F109" s="8" t="s">
        <v>12</v>
      </c>
      <c r="G109" s="7">
        <v>0</v>
      </c>
      <c r="H109" s="7">
        <v>0</v>
      </c>
      <c r="I109" s="7">
        <v>0</v>
      </c>
      <c r="J109" s="7">
        <v>0</v>
      </c>
      <c r="K109" s="7">
        <v>606.49181199999998</v>
      </c>
      <c r="L109" s="7">
        <v>0</v>
      </c>
      <c r="M109" s="7">
        <v>0</v>
      </c>
      <c r="N109" s="7">
        <v>1</v>
      </c>
      <c r="O109" s="7">
        <v>513639.38</v>
      </c>
      <c r="P109" s="7">
        <v>369001.02627799998</v>
      </c>
      <c r="Q109" s="7">
        <v>0</v>
      </c>
      <c r="R109" s="7">
        <v>28.16</v>
      </c>
      <c r="S109" s="7">
        <v>0</v>
      </c>
      <c r="T109" s="7">
        <v>19</v>
      </c>
      <c r="U109" s="7">
        <v>19</v>
      </c>
      <c r="V109" s="7">
        <v>10</v>
      </c>
      <c r="W109" s="7">
        <v>1.0900000000000001</v>
      </c>
      <c r="X109" s="7">
        <v>0</v>
      </c>
      <c r="Y109" s="7">
        <v>0</v>
      </c>
      <c r="Z109" s="7">
        <v>2</v>
      </c>
      <c r="AA109" s="7">
        <v>23.12</v>
      </c>
      <c r="AB109" s="7">
        <v>2782</v>
      </c>
      <c r="AC109" s="7">
        <v>760000</v>
      </c>
      <c r="AD109" s="7">
        <v>760000</v>
      </c>
      <c r="AE109" s="7">
        <v>534115.29</v>
      </c>
      <c r="AF109" s="7">
        <v>483</v>
      </c>
      <c r="AG109" s="7">
        <v>353</v>
      </c>
      <c r="AH109" s="12">
        <v>483</v>
      </c>
    </row>
    <row r="110" spans="1:34" hidden="1" x14ac:dyDescent="0.25">
      <c r="A110" s="11">
        <v>2</v>
      </c>
      <c r="B110" s="8" t="s">
        <v>10</v>
      </c>
      <c r="C110" s="7">
        <v>423</v>
      </c>
      <c r="D110" s="8" t="s">
        <v>43</v>
      </c>
      <c r="E110" s="8" t="s">
        <v>17</v>
      </c>
      <c r="F110" s="8" t="s">
        <v>12</v>
      </c>
      <c r="G110" s="7">
        <v>115000</v>
      </c>
      <c r="H110" s="7">
        <v>70</v>
      </c>
      <c r="I110" s="7">
        <v>70</v>
      </c>
      <c r="J110" s="7">
        <v>120237.66</v>
      </c>
      <c r="K110" s="7">
        <v>88309.653369000007</v>
      </c>
      <c r="L110" s="7">
        <v>0</v>
      </c>
      <c r="M110" s="7">
        <v>26.55</v>
      </c>
      <c r="N110" s="7">
        <v>18.79</v>
      </c>
      <c r="O110" s="7">
        <v>908207.64</v>
      </c>
      <c r="P110" s="7">
        <v>677234.64758200001</v>
      </c>
      <c r="Q110" s="7">
        <v>0</v>
      </c>
      <c r="R110" s="7">
        <v>25.43</v>
      </c>
      <c r="S110" s="7">
        <v>76</v>
      </c>
      <c r="T110" s="7">
        <v>19</v>
      </c>
      <c r="U110" s="7">
        <v>19</v>
      </c>
      <c r="V110" s="7">
        <v>437</v>
      </c>
      <c r="W110" s="7">
        <v>12.06</v>
      </c>
      <c r="X110" s="7">
        <v>115000</v>
      </c>
      <c r="Y110" s="7">
        <v>4425.38</v>
      </c>
      <c r="Z110" s="7">
        <v>2</v>
      </c>
      <c r="AA110" s="7">
        <v>21.72</v>
      </c>
      <c r="AB110" s="7">
        <v>2782</v>
      </c>
      <c r="AC110" s="7">
        <v>1331000</v>
      </c>
      <c r="AD110" s="7">
        <v>1331000</v>
      </c>
      <c r="AE110" s="7">
        <v>1018464.25</v>
      </c>
      <c r="AF110" s="7">
        <v>845</v>
      </c>
      <c r="AG110" s="7">
        <v>634</v>
      </c>
      <c r="AH110" s="12">
        <v>845</v>
      </c>
    </row>
    <row r="111" spans="1:34" ht="21" hidden="1" x14ac:dyDescent="0.25">
      <c r="A111" s="11">
        <v>6</v>
      </c>
      <c r="B111" s="8" t="s">
        <v>142</v>
      </c>
      <c r="C111" s="7">
        <v>465</v>
      </c>
      <c r="D111" s="8" t="s">
        <v>44</v>
      </c>
      <c r="E111" s="8" t="s">
        <v>17</v>
      </c>
      <c r="F111" s="8" t="s">
        <v>12</v>
      </c>
      <c r="G111" s="7">
        <v>90000</v>
      </c>
      <c r="H111" s="7">
        <v>82</v>
      </c>
      <c r="I111" s="7">
        <v>82</v>
      </c>
      <c r="J111" s="7">
        <v>52903.28</v>
      </c>
      <c r="K111" s="7">
        <v>40062.137103000001</v>
      </c>
      <c r="L111" s="7">
        <v>0</v>
      </c>
      <c r="M111" s="7">
        <v>24.27</v>
      </c>
      <c r="N111" s="7">
        <v>18.690000000000001</v>
      </c>
      <c r="O111" s="7">
        <v>353500.19</v>
      </c>
      <c r="P111" s="7">
        <v>263150.449012</v>
      </c>
      <c r="Q111" s="7">
        <v>0</v>
      </c>
      <c r="R111" s="7">
        <v>25.56</v>
      </c>
      <c r="S111" s="7">
        <v>59</v>
      </c>
      <c r="T111" s="7">
        <v>19</v>
      </c>
      <c r="U111" s="7">
        <v>19</v>
      </c>
      <c r="V111" s="7">
        <v>220</v>
      </c>
      <c r="W111" s="7">
        <v>7.1</v>
      </c>
      <c r="X111" s="7">
        <v>90000</v>
      </c>
      <c r="Y111" s="7">
        <v>920.18</v>
      </c>
      <c r="Z111" s="7">
        <v>2</v>
      </c>
      <c r="AA111" s="7">
        <v>18.46</v>
      </c>
      <c r="AB111" s="7">
        <v>2782</v>
      </c>
      <c r="AC111" s="7">
        <v>1054000</v>
      </c>
      <c r="AD111" s="7">
        <v>1054000</v>
      </c>
      <c r="AE111" s="7">
        <v>562468.07999999996</v>
      </c>
      <c r="AF111" s="7">
        <v>923</v>
      </c>
      <c r="AG111" s="7">
        <v>588</v>
      </c>
      <c r="AH111" s="12">
        <v>923</v>
      </c>
    </row>
    <row r="112" spans="1:34" ht="21" hidden="1" x14ac:dyDescent="0.25">
      <c r="A112" s="11">
        <v>6</v>
      </c>
      <c r="B112" s="8" t="s">
        <v>142</v>
      </c>
      <c r="C112" s="7">
        <v>481</v>
      </c>
      <c r="D112" s="8" t="s">
        <v>45</v>
      </c>
      <c r="E112" s="8" t="s">
        <v>17</v>
      </c>
      <c r="F112" s="8" t="s">
        <v>12</v>
      </c>
      <c r="G112" s="7">
        <v>46000</v>
      </c>
      <c r="H112" s="7">
        <v>40</v>
      </c>
      <c r="I112" s="7">
        <v>40</v>
      </c>
      <c r="J112" s="7">
        <v>55839.28</v>
      </c>
      <c r="K112" s="7">
        <v>42262.711573</v>
      </c>
      <c r="L112" s="7">
        <v>0</v>
      </c>
      <c r="M112" s="7">
        <v>24.31</v>
      </c>
      <c r="N112" s="7">
        <v>31.1</v>
      </c>
      <c r="O112" s="7">
        <v>353500.19</v>
      </c>
      <c r="P112" s="7">
        <v>263150.449012</v>
      </c>
      <c r="Q112" s="7">
        <v>0</v>
      </c>
      <c r="R112" s="7">
        <v>25.56</v>
      </c>
      <c r="S112" s="7">
        <v>42</v>
      </c>
      <c r="T112" s="7">
        <v>19</v>
      </c>
      <c r="U112" s="7">
        <v>19</v>
      </c>
      <c r="V112" s="7">
        <v>234</v>
      </c>
      <c r="W112" s="7">
        <v>7.27</v>
      </c>
      <c r="X112" s="7">
        <v>46000</v>
      </c>
      <c r="Y112" s="7">
        <v>888.15</v>
      </c>
      <c r="Z112" s="7">
        <v>0</v>
      </c>
      <c r="AA112" s="7">
        <v>18.46</v>
      </c>
      <c r="AB112" s="7">
        <v>2782</v>
      </c>
      <c r="AC112" s="7">
        <v>1054000</v>
      </c>
      <c r="AD112" s="7">
        <v>1054000</v>
      </c>
      <c r="AE112" s="7">
        <v>562468.07999999996</v>
      </c>
      <c r="AF112" s="7">
        <v>923</v>
      </c>
      <c r="AG112" s="7">
        <v>588</v>
      </c>
      <c r="AH112" s="12">
        <v>923</v>
      </c>
    </row>
    <row r="113" spans="1:34" hidden="1" x14ac:dyDescent="0.25">
      <c r="A113" s="11">
        <v>2</v>
      </c>
      <c r="B113" s="8" t="s">
        <v>10</v>
      </c>
      <c r="C113" s="7">
        <v>520</v>
      </c>
      <c r="D113" s="8" t="s">
        <v>46</v>
      </c>
      <c r="E113" s="8" t="s">
        <v>17</v>
      </c>
      <c r="F113" s="8" t="s">
        <v>12</v>
      </c>
      <c r="G113" s="7">
        <v>115000</v>
      </c>
      <c r="H113" s="7">
        <v>69</v>
      </c>
      <c r="I113" s="7">
        <v>69</v>
      </c>
      <c r="J113" s="7">
        <v>64921.31</v>
      </c>
      <c r="K113" s="7">
        <v>46474.277377999999</v>
      </c>
      <c r="L113" s="7">
        <v>0</v>
      </c>
      <c r="M113" s="7">
        <v>28.41</v>
      </c>
      <c r="N113" s="7">
        <v>26.9</v>
      </c>
      <c r="O113" s="7">
        <v>908207.64</v>
      </c>
      <c r="P113" s="7">
        <v>677234.64758200001</v>
      </c>
      <c r="Q113" s="7">
        <v>0</v>
      </c>
      <c r="R113" s="7">
        <v>25.43</v>
      </c>
      <c r="S113" s="7">
        <v>35</v>
      </c>
      <c r="T113" s="7">
        <v>19</v>
      </c>
      <c r="U113" s="7">
        <v>19</v>
      </c>
      <c r="V113" s="7">
        <v>312</v>
      </c>
      <c r="W113" s="7">
        <v>16.559999999999999</v>
      </c>
      <c r="X113" s="7">
        <v>115000</v>
      </c>
      <c r="Y113" s="7">
        <v>181.14</v>
      </c>
      <c r="Z113" s="7">
        <v>0</v>
      </c>
      <c r="AA113" s="7">
        <v>21.72</v>
      </c>
      <c r="AB113" s="7">
        <v>2782</v>
      </c>
      <c r="AC113" s="7">
        <v>1331000</v>
      </c>
      <c r="AD113" s="7">
        <v>1331000</v>
      </c>
      <c r="AE113" s="7">
        <v>1018464.25</v>
      </c>
      <c r="AF113" s="7">
        <v>845</v>
      </c>
      <c r="AG113" s="7">
        <v>634</v>
      </c>
      <c r="AH113" s="12">
        <v>845</v>
      </c>
    </row>
    <row r="114" spans="1:34" hidden="1" x14ac:dyDescent="0.25">
      <c r="A114" s="11">
        <v>2</v>
      </c>
      <c r="B114" s="8" t="s">
        <v>10</v>
      </c>
      <c r="C114" s="7">
        <v>577</v>
      </c>
      <c r="D114" s="8" t="s">
        <v>47</v>
      </c>
      <c r="E114" s="8" t="s">
        <v>17</v>
      </c>
      <c r="F114" s="8" t="s">
        <v>12</v>
      </c>
      <c r="G114" s="7">
        <v>105000</v>
      </c>
      <c r="H114" s="7">
        <v>15</v>
      </c>
      <c r="I114" s="7">
        <v>15</v>
      </c>
      <c r="J114" s="7">
        <v>105327.93</v>
      </c>
      <c r="K114" s="7">
        <v>84850.921268000006</v>
      </c>
      <c r="L114" s="7">
        <v>0</v>
      </c>
      <c r="M114" s="7">
        <v>19.440000000000001</v>
      </c>
      <c r="N114" s="7">
        <v>20.39</v>
      </c>
      <c r="O114" s="7">
        <v>908207.64</v>
      </c>
      <c r="P114" s="7">
        <v>677234.64758200001</v>
      </c>
      <c r="Q114" s="7">
        <v>0</v>
      </c>
      <c r="R114" s="7">
        <v>25.43</v>
      </c>
      <c r="S114" s="7">
        <v>15</v>
      </c>
      <c r="T114" s="7">
        <v>19</v>
      </c>
      <c r="U114" s="7">
        <v>19</v>
      </c>
      <c r="V114" s="7">
        <v>150</v>
      </c>
      <c r="W114" s="7">
        <v>6.44</v>
      </c>
      <c r="X114" s="7">
        <v>105000</v>
      </c>
      <c r="Y114" s="7">
        <v>150</v>
      </c>
      <c r="Z114" s="7">
        <v>0</v>
      </c>
      <c r="AA114" s="7">
        <v>21.72</v>
      </c>
      <c r="AB114" s="7">
        <v>2782</v>
      </c>
      <c r="AC114" s="7">
        <v>1331000</v>
      </c>
      <c r="AD114" s="7">
        <v>1331000</v>
      </c>
      <c r="AE114" s="7">
        <v>1018464.25</v>
      </c>
      <c r="AF114" s="7">
        <v>845</v>
      </c>
      <c r="AG114" s="7">
        <v>634</v>
      </c>
      <c r="AH114" s="12">
        <v>845</v>
      </c>
    </row>
    <row r="115" spans="1:34" ht="21" hidden="1" x14ac:dyDescent="0.25">
      <c r="A115" s="11">
        <v>6</v>
      </c>
      <c r="B115" s="8" t="s">
        <v>142</v>
      </c>
      <c r="C115" s="7">
        <v>644</v>
      </c>
      <c r="D115" s="8" t="s">
        <v>156</v>
      </c>
      <c r="E115" s="8" t="s">
        <v>17</v>
      </c>
      <c r="F115" s="8" t="s">
        <v>12</v>
      </c>
      <c r="G115" s="7">
        <v>0</v>
      </c>
      <c r="H115" s="7">
        <v>0</v>
      </c>
      <c r="I115" s="7">
        <v>0</v>
      </c>
      <c r="J115" s="7">
        <v>0</v>
      </c>
      <c r="K115" s="7">
        <v>1671.2853709999999</v>
      </c>
      <c r="L115" s="7">
        <v>0</v>
      </c>
      <c r="M115" s="7">
        <v>0</v>
      </c>
      <c r="N115" s="7">
        <v>1</v>
      </c>
      <c r="O115" s="7">
        <v>353500.19</v>
      </c>
      <c r="P115" s="7">
        <v>263150.449012</v>
      </c>
      <c r="Q115" s="7">
        <v>0</v>
      </c>
      <c r="R115" s="7">
        <v>25.56</v>
      </c>
      <c r="S115" s="7">
        <v>0</v>
      </c>
      <c r="T115" s="7">
        <v>19</v>
      </c>
      <c r="U115" s="7">
        <v>19</v>
      </c>
      <c r="V115" s="7">
        <v>15</v>
      </c>
      <c r="W115" s="7">
        <v>1.4</v>
      </c>
      <c r="X115" s="7">
        <v>0</v>
      </c>
      <c r="Y115" s="7">
        <v>84.15</v>
      </c>
      <c r="Z115" s="7">
        <v>0</v>
      </c>
      <c r="AA115" s="7">
        <v>18.46</v>
      </c>
      <c r="AB115" s="7">
        <v>2782</v>
      </c>
      <c r="AC115" s="7">
        <v>1054000</v>
      </c>
      <c r="AD115" s="7">
        <v>1054000</v>
      </c>
      <c r="AE115" s="7">
        <v>562468.07999999996</v>
      </c>
      <c r="AF115" s="7">
        <v>923</v>
      </c>
      <c r="AG115" s="7">
        <v>588</v>
      </c>
      <c r="AH115" s="12">
        <v>923</v>
      </c>
    </row>
    <row r="116" spans="1:34" ht="21" hidden="1" x14ac:dyDescent="0.25">
      <c r="A116" s="11">
        <v>26</v>
      </c>
      <c r="B116" s="8" t="s">
        <v>13</v>
      </c>
      <c r="C116" s="7">
        <v>661</v>
      </c>
      <c r="D116" s="8" t="s">
        <v>48</v>
      </c>
      <c r="E116" s="8" t="s">
        <v>17</v>
      </c>
      <c r="F116" s="8" t="s">
        <v>12</v>
      </c>
      <c r="G116" s="7">
        <v>115000</v>
      </c>
      <c r="H116" s="7">
        <v>88</v>
      </c>
      <c r="I116" s="7">
        <v>88</v>
      </c>
      <c r="J116" s="7">
        <v>76790.070000000007</v>
      </c>
      <c r="K116" s="7">
        <v>58236.067206</v>
      </c>
      <c r="L116" s="7">
        <v>0</v>
      </c>
      <c r="M116" s="7">
        <v>24.16</v>
      </c>
      <c r="N116" s="7">
        <v>24.38</v>
      </c>
      <c r="O116" s="7">
        <v>511611.31</v>
      </c>
      <c r="P116" s="7">
        <v>387941.85510500002</v>
      </c>
      <c r="Q116" s="7">
        <v>0</v>
      </c>
      <c r="R116" s="7">
        <v>24.17</v>
      </c>
      <c r="S116" s="7">
        <v>49</v>
      </c>
      <c r="T116" s="7">
        <v>19</v>
      </c>
      <c r="U116" s="7">
        <v>19</v>
      </c>
      <c r="V116" s="7">
        <v>221</v>
      </c>
      <c r="W116" s="7">
        <v>8.09</v>
      </c>
      <c r="X116" s="7">
        <v>115000</v>
      </c>
      <c r="Y116" s="7">
        <v>340.06</v>
      </c>
      <c r="Z116" s="7">
        <v>0</v>
      </c>
      <c r="AA116" s="7">
        <v>24.8</v>
      </c>
      <c r="AB116" s="7">
        <v>2782</v>
      </c>
      <c r="AC116" s="7">
        <v>838000</v>
      </c>
      <c r="AD116" s="7">
        <v>838000</v>
      </c>
      <c r="AE116" s="7">
        <v>583373.18000000005</v>
      </c>
      <c r="AF116" s="7">
        <v>621</v>
      </c>
      <c r="AG116" s="7">
        <v>453</v>
      </c>
      <c r="AH116" s="12">
        <v>621</v>
      </c>
    </row>
    <row r="117" spans="1:34" hidden="1" x14ac:dyDescent="0.25">
      <c r="A117" s="11">
        <v>2</v>
      </c>
      <c r="B117" s="8" t="s">
        <v>10</v>
      </c>
      <c r="C117" s="7">
        <v>690</v>
      </c>
      <c r="D117" s="8" t="s">
        <v>49</v>
      </c>
      <c r="E117" s="8" t="s">
        <v>17</v>
      </c>
      <c r="F117" s="8" t="s">
        <v>12</v>
      </c>
      <c r="G117" s="7">
        <v>110000</v>
      </c>
      <c r="H117" s="7">
        <v>90</v>
      </c>
      <c r="I117" s="7">
        <v>90</v>
      </c>
      <c r="J117" s="7">
        <v>91554.45</v>
      </c>
      <c r="K117" s="7">
        <v>68611.245733000003</v>
      </c>
      <c r="L117" s="7">
        <v>0</v>
      </c>
      <c r="M117" s="7">
        <v>25.06</v>
      </c>
      <c r="N117" s="7">
        <v>17.78</v>
      </c>
      <c r="O117" s="7">
        <v>908207.64</v>
      </c>
      <c r="P117" s="7">
        <v>677234.64758200001</v>
      </c>
      <c r="Q117" s="7">
        <v>0</v>
      </c>
      <c r="R117" s="7">
        <v>25.43</v>
      </c>
      <c r="S117" s="7">
        <v>82</v>
      </c>
      <c r="T117" s="7">
        <v>19</v>
      </c>
      <c r="U117" s="7">
        <v>19</v>
      </c>
      <c r="V117" s="7">
        <v>472</v>
      </c>
      <c r="W117" s="7">
        <v>11.71</v>
      </c>
      <c r="X117" s="7">
        <v>110000</v>
      </c>
      <c r="Y117" s="7">
        <v>2142.5500000000002</v>
      </c>
      <c r="Z117" s="7">
        <v>2</v>
      </c>
      <c r="AA117" s="7">
        <v>21.72</v>
      </c>
      <c r="AB117" s="7">
        <v>2782</v>
      </c>
      <c r="AC117" s="7">
        <v>1331000</v>
      </c>
      <c r="AD117" s="7">
        <v>1331000</v>
      </c>
      <c r="AE117" s="7">
        <v>1018464.25</v>
      </c>
      <c r="AF117" s="7">
        <v>845</v>
      </c>
      <c r="AG117" s="7">
        <v>634</v>
      </c>
      <c r="AH117" s="12">
        <v>845</v>
      </c>
    </row>
    <row r="118" spans="1:34" ht="21" hidden="1" x14ac:dyDescent="0.25">
      <c r="A118" s="11">
        <v>26</v>
      </c>
      <c r="B118" s="8" t="s">
        <v>13</v>
      </c>
      <c r="C118" s="7">
        <v>705</v>
      </c>
      <c r="D118" s="8" t="s">
        <v>50</v>
      </c>
      <c r="E118" s="8" t="s">
        <v>17</v>
      </c>
      <c r="F118" s="8" t="s">
        <v>12</v>
      </c>
      <c r="G118" s="7">
        <v>112000</v>
      </c>
      <c r="H118" s="7">
        <v>35</v>
      </c>
      <c r="I118" s="7">
        <v>35</v>
      </c>
      <c r="J118" s="7">
        <v>26770.68</v>
      </c>
      <c r="K118" s="7">
        <v>19581.097322000001</v>
      </c>
      <c r="L118" s="7">
        <v>0</v>
      </c>
      <c r="M118" s="7">
        <v>26.86</v>
      </c>
      <c r="N118" s="7">
        <v>30.12</v>
      </c>
      <c r="O118" s="7">
        <v>511611.31</v>
      </c>
      <c r="P118" s="7">
        <v>387941.85510500002</v>
      </c>
      <c r="Q118" s="7">
        <v>0</v>
      </c>
      <c r="R118" s="7">
        <v>24.17</v>
      </c>
      <c r="S118" s="7">
        <v>21</v>
      </c>
      <c r="T118" s="7">
        <v>19</v>
      </c>
      <c r="U118" s="7">
        <v>19</v>
      </c>
      <c r="V118" s="7">
        <v>222</v>
      </c>
      <c r="W118" s="7">
        <v>10.039999999999999</v>
      </c>
      <c r="X118" s="7">
        <v>112000</v>
      </c>
      <c r="Y118" s="7">
        <v>0</v>
      </c>
      <c r="Z118" s="7">
        <v>0</v>
      </c>
      <c r="AA118" s="7">
        <v>24.8</v>
      </c>
      <c r="AB118" s="7">
        <v>2782</v>
      </c>
      <c r="AC118" s="7">
        <v>838000</v>
      </c>
      <c r="AD118" s="7">
        <v>838000</v>
      </c>
      <c r="AE118" s="7">
        <v>583373.18000000005</v>
      </c>
      <c r="AF118" s="7">
        <v>621</v>
      </c>
      <c r="AG118" s="7">
        <v>453</v>
      </c>
      <c r="AH118" s="12">
        <v>621</v>
      </c>
    </row>
    <row r="119" spans="1:34" ht="21" hidden="1" x14ac:dyDescent="0.25">
      <c r="A119" s="11">
        <v>6</v>
      </c>
      <c r="B119" s="8" t="s">
        <v>142</v>
      </c>
      <c r="C119" s="7">
        <v>746</v>
      </c>
      <c r="D119" s="8" t="s">
        <v>51</v>
      </c>
      <c r="E119" s="8" t="s">
        <v>17</v>
      </c>
      <c r="F119" s="8" t="s">
        <v>12</v>
      </c>
      <c r="G119" s="7">
        <v>100000</v>
      </c>
      <c r="H119" s="7">
        <v>60</v>
      </c>
      <c r="I119" s="7">
        <v>60</v>
      </c>
      <c r="J119" s="7">
        <v>50280.45</v>
      </c>
      <c r="K119" s="7">
        <v>38102.277647000003</v>
      </c>
      <c r="L119" s="7">
        <v>0</v>
      </c>
      <c r="M119" s="7">
        <v>24.22</v>
      </c>
      <c r="N119" s="7">
        <v>25.74</v>
      </c>
      <c r="O119" s="7">
        <v>353500.19</v>
      </c>
      <c r="P119" s="7">
        <v>263150.449012</v>
      </c>
      <c r="Q119" s="7">
        <v>0</v>
      </c>
      <c r="R119" s="7">
        <v>25.56</v>
      </c>
      <c r="S119" s="7">
        <v>34</v>
      </c>
      <c r="T119" s="7">
        <v>19</v>
      </c>
      <c r="U119" s="7">
        <v>19</v>
      </c>
      <c r="V119" s="7">
        <v>240</v>
      </c>
      <c r="W119" s="7">
        <v>9.09</v>
      </c>
      <c r="X119" s="7">
        <v>100000</v>
      </c>
      <c r="Y119" s="7">
        <v>0</v>
      </c>
      <c r="Z119" s="7">
        <v>0</v>
      </c>
      <c r="AA119" s="7">
        <v>18.46</v>
      </c>
      <c r="AB119" s="7">
        <v>2782</v>
      </c>
      <c r="AC119" s="7">
        <v>1054000</v>
      </c>
      <c r="AD119" s="7">
        <v>1054000</v>
      </c>
      <c r="AE119" s="7">
        <v>562468.07999999996</v>
      </c>
      <c r="AF119" s="7">
        <v>923</v>
      </c>
      <c r="AG119" s="7">
        <v>588</v>
      </c>
      <c r="AH119" s="12">
        <v>923</v>
      </c>
    </row>
    <row r="120" spans="1:34" hidden="1" x14ac:dyDescent="0.25">
      <c r="A120" s="11">
        <v>2</v>
      </c>
      <c r="B120" s="8" t="s">
        <v>10</v>
      </c>
      <c r="C120" s="7">
        <v>756</v>
      </c>
      <c r="D120" s="8" t="s">
        <v>52</v>
      </c>
      <c r="E120" s="8" t="s">
        <v>17</v>
      </c>
      <c r="F120" s="8" t="s">
        <v>12</v>
      </c>
      <c r="G120" s="7">
        <v>110000</v>
      </c>
      <c r="H120" s="7">
        <v>65</v>
      </c>
      <c r="I120" s="7">
        <v>65</v>
      </c>
      <c r="J120" s="7">
        <v>93616.66</v>
      </c>
      <c r="K120" s="7">
        <v>71138.811409999995</v>
      </c>
      <c r="L120" s="7">
        <v>0</v>
      </c>
      <c r="M120" s="7">
        <v>24.01</v>
      </c>
      <c r="N120" s="7">
        <v>32.04</v>
      </c>
      <c r="O120" s="7">
        <v>908207.64</v>
      </c>
      <c r="P120" s="7">
        <v>677234.64758200001</v>
      </c>
      <c r="Q120" s="7">
        <v>0</v>
      </c>
      <c r="R120" s="7">
        <v>25.43</v>
      </c>
      <c r="S120" s="7">
        <v>65</v>
      </c>
      <c r="T120" s="7">
        <v>19</v>
      </c>
      <c r="U120" s="7">
        <v>19</v>
      </c>
      <c r="V120" s="7">
        <v>284</v>
      </c>
      <c r="W120" s="7">
        <v>9.84</v>
      </c>
      <c r="X120" s="7">
        <v>110000</v>
      </c>
      <c r="Y120" s="7">
        <v>66.84</v>
      </c>
      <c r="Z120" s="7">
        <v>2</v>
      </c>
      <c r="AA120" s="7">
        <v>21.72</v>
      </c>
      <c r="AB120" s="7">
        <v>2782</v>
      </c>
      <c r="AC120" s="7">
        <v>1331000</v>
      </c>
      <c r="AD120" s="7">
        <v>1331000</v>
      </c>
      <c r="AE120" s="7">
        <v>1018464.25</v>
      </c>
      <c r="AF120" s="7">
        <v>845</v>
      </c>
      <c r="AG120" s="7">
        <v>634</v>
      </c>
      <c r="AH120" s="12">
        <v>845</v>
      </c>
    </row>
    <row r="121" spans="1:34" ht="21" hidden="1" x14ac:dyDescent="0.25">
      <c r="A121" s="11">
        <v>26</v>
      </c>
      <c r="B121" s="8" t="s">
        <v>13</v>
      </c>
      <c r="C121" s="7">
        <v>759</v>
      </c>
      <c r="D121" s="8" t="s">
        <v>53</v>
      </c>
      <c r="E121" s="8" t="s">
        <v>17</v>
      </c>
      <c r="F121" s="8" t="s">
        <v>12</v>
      </c>
      <c r="G121" s="7">
        <v>52000</v>
      </c>
      <c r="H121" s="7">
        <v>49</v>
      </c>
      <c r="I121" s="7">
        <v>49</v>
      </c>
      <c r="J121" s="7">
        <v>39211</v>
      </c>
      <c r="K121" s="7">
        <v>29485.023343000001</v>
      </c>
      <c r="L121" s="7">
        <v>0</v>
      </c>
      <c r="M121" s="7">
        <v>24.8</v>
      </c>
      <c r="N121" s="7">
        <v>19.47</v>
      </c>
      <c r="O121" s="7">
        <v>511611.31</v>
      </c>
      <c r="P121" s="7">
        <v>387941.85510500002</v>
      </c>
      <c r="Q121" s="7">
        <v>0</v>
      </c>
      <c r="R121" s="7">
        <v>24.17</v>
      </c>
      <c r="S121" s="7">
        <v>47</v>
      </c>
      <c r="T121" s="7">
        <v>19</v>
      </c>
      <c r="U121" s="7">
        <v>19</v>
      </c>
      <c r="V121" s="7">
        <v>233</v>
      </c>
      <c r="W121" s="7">
        <v>10.24</v>
      </c>
      <c r="X121" s="7">
        <v>52000</v>
      </c>
      <c r="Y121" s="7">
        <v>0</v>
      </c>
      <c r="Z121" s="7">
        <v>1</v>
      </c>
      <c r="AA121" s="7">
        <v>24.8</v>
      </c>
      <c r="AB121" s="7">
        <v>2782</v>
      </c>
      <c r="AC121" s="7">
        <v>838000</v>
      </c>
      <c r="AD121" s="7">
        <v>838000</v>
      </c>
      <c r="AE121" s="7">
        <v>583373.18000000005</v>
      </c>
      <c r="AF121" s="7">
        <v>621</v>
      </c>
      <c r="AG121" s="7">
        <v>453</v>
      </c>
      <c r="AH121" s="12">
        <v>621</v>
      </c>
    </row>
    <row r="122" spans="1:34" ht="21" hidden="1" x14ac:dyDescent="0.25">
      <c r="A122" s="11">
        <v>5</v>
      </c>
      <c r="B122" s="8" t="s">
        <v>143</v>
      </c>
      <c r="C122" s="7">
        <v>760</v>
      </c>
      <c r="D122" s="8" t="s">
        <v>54</v>
      </c>
      <c r="E122" s="8" t="s">
        <v>17</v>
      </c>
      <c r="F122" s="8" t="s">
        <v>12</v>
      </c>
      <c r="G122" s="7">
        <v>160000</v>
      </c>
      <c r="H122" s="7">
        <v>30</v>
      </c>
      <c r="I122" s="7">
        <v>30</v>
      </c>
      <c r="J122" s="7">
        <v>110905.92</v>
      </c>
      <c r="K122" s="7">
        <v>83562.980850000007</v>
      </c>
      <c r="L122" s="7">
        <v>0</v>
      </c>
      <c r="M122" s="7">
        <v>24.65</v>
      </c>
      <c r="N122" s="7">
        <v>40.67</v>
      </c>
      <c r="O122" s="7">
        <v>256363.87</v>
      </c>
      <c r="P122" s="7">
        <v>192405.98953799999</v>
      </c>
      <c r="Q122" s="7">
        <v>0</v>
      </c>
      <c r="R122" s="7">
        <v>24.95</v>
      </c>
      <c r="S122" s="7">
        <v>32</v>
      </c>
      <c r="T122" s="7">
        <v>19</v>
      </c>
      <c r="U122" s="7">
        <v>19</v>
      </c>
      <c r="V122" s="7">
        <v>146</v>
      </c>
      <c r="W122" s="7">
        <v>5.95</v>
      </c>
      <c r="X122" s="7">
        <v>160000</v>
      </c>
      <c r="Y122" s="7">
        <v>7881.11</v>
      </c>
      <c r="Z122" s="7">
        <v>0</v>
      </c>
      <c r="AA122" s="7">
        <v>21.71</v>
      </c>
      <c r="AB122" s="7">
        <v>2782</v>
      </c>
      <c r="AC122" s="7">
        <v>450000</v>
      </c>
      <c r="AD122" s="7">
        <v>450000</v>
      </c>
      <c r="AE122" s="7">
        <v>215464.54</v>
      </c>
      <c r="AF122" s="7">
        <v>200</v>
      </c>
      <c r="AG122" s="7">
        <v>116</v>
      </c>
      <c r="AH122" s="12">
        <v>200</v>
      </c>
    </row>
    <row r="123" spans="1:34" ht="21" hidden="1" x14ac:dyDescent="0.25">
      <c r="A123" s="11">
        <v>6</v>
      </c>
      <c r="B123" s="8" t="s">
        <v>142</v>
      </c>
      <c r="C123" s="7">
        <v>764</v>
      </c>
      <c r="D123" s="8" t="s">
        <v>55</v>
      </c>
      <c r="E123" s="8" t="s">
        <v>17</v>
      </c>
      <c r="F123" s="8" t="s">
        <v>12</v>
      </c>
      <c r="G123" s="7">
        <v>109000</v>
      </c>
      <c r="H123" s="7">
        <v>83</v>
      </c>
      <c r="I123" s="7">
        <v>83</v>
      </c>
      <c r="J123" s="7">
        <v>71365.97</v>
      </c>
      <c r="K123" s="7">
        <v>53102.505793999997</v>
      </c>
      <c r="L123" s="7">
        <v>0</v>
      </c>
      <c r="M123" s="7">
        <v>25.59</v>
      </c>
      <c r="N123" s="7">
        <v>19.21</v>
      </c>
      <c r="O123" s="7">
        <v>353500.19</v>
      </c>
      <c r="P123" s="7">
        <v>263150.449012</v>
      </c>
      <c r="Q123" s="7">
        <v>0</v>
      </c>
      <c r="R123" s="7">
        <v>25.56</v>
      </c>
      <c r="S123" s="7">
        <v>60</v>
      </c>
      <c r="T123" s="7">
        <v>19</v>
      </c>
      <c r="U123" s="7">
        <v>19</v>
      </c>
      <c r="V123" s="7">
        <v>424</v>
      </c>
      <c r="W123" s="7">
        <v>12.85</v>
      </c>
      <c r="X123" s="7">
        <v>109000</v>
      </c>
      <c r="Y123" s="7">
        <v>705.34</v>
      </c>
      <c r="Z123" s="7">
        <v>0</v>
      </c>
      <c r="AA123" s="7">
        <v>18.46</v>
      </c>
      <c r="AB123" s="7">
        <v>2782</v>
      </c>
      <c r="AC123" s="7">
        <v>1054000</v>
      </c>
      <c r="AD123" s="7">
        <v>1054000</v>
      </c>
      <c r="AE123" s="7">
        <v>562468.07999999996</v>
      </c>
      <c r="AF123" s="7">
        <v>923</v>
      </c>
      <c r="AG123" s="7">
        <v>588</v>
      </c>
      <c r="AH123" s="12">
        <v>923</v>
      </c>
    </row>
    <row r="124" spans="1:34" hidden="1" x14ac:dyDescent="0.25">
      <c r="A124" s="11">
        <v>2</v>
      </c>
      <c r="B124" s="8" t="s">
        <v>10</v>
      </c>
      <c r="C124" s="7">
        <v>774</v>
      </c>
      <c r="D124" s="8" t="s">
        <v>56</v>
      </c>
      <c r="E124" s="8" t="s">
        <v>17</v>
      </c>
      <c r="F124" s="8" t="s">
        <v>12</v>
      </c>
      <c r="G124" s="7">
        <v>115000</v>
      </c>
      <c r="H124" s="7">
        <v>80</v>
      </c>
      <c r="I124" s="7">
        <v>80</v>
      </c>
      <c r="J124" s="7">
        <v>60234.76</v>
      </c>
      <c r="K124" s="7">
        <v>44239.150031999998</v>
      </c>
      <c r="L124" s="7">
        <v>0</v>
      </c>
      <c r="M124" s="7">
        <v>26.56</v>
      </c>
      <c r="N124" s="7">
        <v>15.5</v>
      </c>
      <c r="O124" s="7">
        <v>908207.64</v>
      </c>
      <c r="P124" s="7">
        <v>677234.64758200001</v>
      </c>
      <c r="Q124" s="7">
        <v>0</v>
      </c>
      <c r="R124" s="7">
        <v>25.43</v>
      </c>
      <c r="S124" s="7">
        <v>54</v>
      </c>
      <c r="T124" s="7">
        <v>19</v>
      </c>
      <c r="U124" s="7">
        <v>19</v>
      </c>
      <c r="V124" s="7">
        <v>281</v>
      </c>
      <c r="W124" s="7">
        <v>9.85</v>
      </c>
      <c r="X124" s="7">
        <v>115000</v>
      </c>
      <c r="Y124" s="7">
        <v>10409.799999999999</v>
      </c>
      <c r="Z124" s="7">
        <v>0</v>
      </c>
      <c r="AA124" s="7">
        <v>21.72</v>
      </c>
      <c r="AB124" s="7">
        <v>2782</v>
      </c>
      <c r="AC124" s="7">
        <v>1331000</v>
      </c>
      <c r="AD124" s="7">
        <v>1331000</v>
      </c>
      <c r="AE124" s="7">
        <v>1018464.25</v>
      </c>
      <c r="AF124" s="7">
        <v>845</v>
      </c>
      <c r="AG124" s="7">
        <v>634</v>
      </c>
      <c r="AH124" s="12">
        <v>845</v>
      </c>
    </row>
    <row r="125" spans="1:34" ht="21" hidden="1" x14ac:dyDescent="0.25">
      <c r="A125" s="11">
        <v>26</v>
      </c>
      <c r="B125" s="8" t="s">
        <v>13</v>
      </c>
      <c r="C125" s="7">
        <v>796</v>
      </c>
      <c r="D125" s="8" t="s">
        <v>61</v>
      </c>
      <c r="E125" s="8" t="s">
        <v>17</v>
      </c>
      <c r="F125" s="8" t="s">
        <v>12</v>
      </c>
      <c r="G125" s="7">
        <v>38000</v>
      </c>
      <c r="H125" s="7">
        <v>2</v>
      </c>
      <c r="I125" s="7">
        <v>2</v>
      </c>
      <c r="J125" s="7">
        <v>27987.56</v>
      </c>
      <c r="K125" s="7">
        <v>23251.737056000002</v>
      </c>
      <c r="L125" s="7">
        <v>0</v>
      </c>
      <c r="M125" s="7">
        <v>16.920000000000002</v>
      </c>
      <c r="N125" s="7">
        <v>40.57</v>
      </c>
      <c r="O125" s="7">
        <v>511611.31</v>
      </c>
      <c r="P125" s="7">
        <v>387941.85510500002</v>
      </c>
      <c r="Q125" s="7">
        <v>0</v>
      </c>
      <c r="R125" s="7">
        <v>24.17</v>
      </c>
      <c r="S125" s="7">
        <v>1</v>
      </c>
      <c r="T125" s="7">
        <v>19</v>
      </c>
      <c r="U125" s="7">
        <v>19</v>
      </c>
      <c r="V125" s="7">
        <v>87</v>
      </c>
      <c r="W125" s="7">
        <v>6.86</v>
      </c>
      <c r="X125" s="7">
        <v>38000</v>
      </c>
      <c r="Y125" s="7">
        <v>1440.72</v>
      </c>
      <c r="Z125" s="7">
        <v>0</v>
      </c>
      <c r="AA125" s="7">
        <v>24.8</v>
      </c>
      <c r="AB125" s="7">
        <v>2782</v>
      </c>
      <c r="AC125" s="7">
        <v>838000</v>
      </c>
      <c r="AD125" s="7">
        <v>838000</v>
      </c>
      <c r="AE125" s="7">
        <v>583373.18000000005</v>
      </c>
      <c r="AF125" s="7">
        <v>621</v>
      </c>
      <c r="AG125" s="7">
        <v>453</v>
      </c>
      <c r="AH125" s="12">
        <v>621</v>
      </c>
    </row>
    <row r="126" spans="1:34" ht="21" hidden="1" x14ac:dyDescent="0.25">
      <c r="A126" s="11">
        <v>12</v>
      </c>
      <c r="B126" s="8" t="s">
        <v>14</v>
      </c>
      <c r="C126" s="7">
        <v>800</v>
      </c>
      <c r="D126" s="8" t="s">
        <v>117</v>
      </c>
      <c r="E126" s="8" t="s">
        <v>17</v>
      </c>
      <c r="F126" s="8" t="s">
        <v>12</v>
      </c>
      <c r="G126" s="7">
        <v>60000</v>
      </c>
      <c r="H126" s="7">
        <v>70</v>
      </c>
      <c r="I126" s="7">
        <v>70</v>
      </c>
      <c r="J126" s="7">
        <v>22494.69</v>
      </c>
      <c r="K126" s="7">
        <v>17047.224123</v>
      </c>
      <c r="L126" s="7">
        <v>0</v>
      </c>
      <c r="M126" s="7">
        <v>24.22</v>
      </c>
      <c r="N126" s="7">
        <v>10.38</v>
      </c>
      <c r="O126" s="7">
        <v>306647.53999999998</v>
      </c>
      <c r="P126" s="7">
        <v>231754.31285799999</v>
      </c>
      <c r="Q126" s="7">
        <v>0</v>
      </c>
      <c r="R126" s="7">
        <v>24.42</v>
      </c>
      <c r="S126" s="7">
        <v>43</v>
      </c>
      <c r="T126" s="7">
        <v>19</v>
      </c>
      <c r="U126" s="7">
        <v>19</v>
      </c>
      <c r="V126" s="7">
        <v>186</v>
      </c>
      <c r="W126" s="7">
        <v>7.09</v>
      </c>
      <c r="X126" s="7">
        <v>60000</v>
      </c>
      <c r="Y126" s="7">
        <v>2238.4499999999998</v>
      </c>
      <c r="Z126" s="7">
        <v>2</v>
      </c>
      <c r="AA126" s="7">
        <v>27.94</v>
      </c>
      <c r="AB126" s="7">
        <v>2782</v>
      </c>
      <c r="AC126" s="7">
        <v>665000</v>
      </c>
      <c r="AD126" s="7">
        <v>665000</v>
      </c>
      <c r="AE126" s="7">
        <v>347546.87</v>
      </c>
      <c r="AF126" s="7">
        <v>750</v>
      </c>
      <c r="AG126" s="7">
        <v>439</v>
      </c>
      <c r="AH126" s="12">
        <v>750</v>
      </c>
    </row>
    <row r="127" spans="1:34" hidden="1" x14ac:dyDescent="0.25">
      <c r="A127" s="11">
        <v>2</v>
      </c>
      <c r="B127" s="8" t="s">
        <v>10</v>
      </c>
      <c r="C127" s="7">
        <v>817</v>
      </c>
      <c r="D127" s="8" t="s">
        <v>57</v>
      </c>
      <c r="E127" s="8" t="s">
        <v>17</v>
      </c>
      <c r="F127" s="8" t="s">
        <v>12</v>
      </c>
      <c r="G127" s="7">
        <v>115000</v>
      </c>
      <c r="H127" s="7">
        <v>70</v>
      </c>
      <c r="I127" s="7">
        <v>70</v>
      </c>
      <c r="J127" s="7">
        <v>116132.99</v>
      </c>
      <c r="K127" s="7">
        <v>85515.052628000005</v>
      </c>
      <c r="L127" s="7">
        <v>0</v>
      </c>
      <c r="M127" s="7">
        <v>26.36</v>
      </c>
      <c r="N127" s="7">
        <v>22.01</v>
      </c>
      <c r="O127" s="7">
        <v>908207.64</v>
      </c>
      <c r="P127" s="7">
        <v>677234.64758200001</v>
      </c>
      <c r="Q127" s="7">
        <v>0</v>
      </c>
      <c r="R127" s="7">
        <v>25.43</v>
      </c>
      <c r="S127" s="7">
        <v>60</v>
      </c>
      <c r="T127" s="7">
        <v>19</v>
      </c>
      <c r="U127" s="7">
        <v>19</v>
      </c>
      <c r="V127" s="7">
        <v>407</v>
      </c>
      <c r="W127" s="7">
        <v>13.42</v>
      </c>
      <c r="X127" s="7">
        <v>115000</v>
      </c>
      <c r="Y127" s="7">
        <v>358.2</v>
      </c>
      <c r="Z127" s="7">
        <v>1</v>
      </c>
      <c r="AA127" s="7">
        <v>21.72</v>
      </c>
      <c r="AB127" s="7">
        <v>2782</v>
      </c>
      <c r="AC127" s="7">
        <v>1331000</v>
      </c>
      <c r="AD127" s="7">
        <v>1331000</v>
      </c>
      <c r="AE127" s="7">
        <v>1018464.25</v>
      </c>
      <c r="AF127" s="7">
        <v>845</v>
      </c>
      <c r="AG127" s="7">
        <v>634</v>
      </c>
      <c r="AH127" s="12">
        <v>845</v>
      </c>
    </row>
    <row r="128" spans="1:34" ht="21" hidden="1" x14ac:dyDescent="0.25">
      <c r="A128" s="11">
        <v>12</v>
      </c>
      <c r="B128" s="8" t="s">
        <v>14</v>
      </c>
      <c r="C128" s="7">
        <v>853</v>
      </c>
      <c r="D128" s="8" t="s">
        <v>58</v>
      </c>
      <c r="E128" s="8" t="s">
        <v>17</v>
      </c>
      <c r="F128" s="8" t="s">
        <v>12</v>
      </c>
      <c r="G128" s="7">
        <v>60000</v>
      </c>
      <c r="H128" s="7">
        <v>65</v>
      </c>
      <c r="I128" s="7">
        <v>65</v>
      </c>
      <c r="J128" s="7">
        <v>32024.46</v>
      </c>
      <c r="K128" s="7">
        <v>24429.487878</v>
      </c>
      <c r="L128" s="7">
        <v>0</v>
      </c>
      <c r="M128" s="7">
        <v>23.72</v>
      </c>
      <c r="N128" s="7">
        <v>13.97</v>
      </c>
      <c r="O128" s="7">
        <v>306647.53999999998</v>
      </c>
      <c r="P128" s="7">
        <v>231754.31285799999</v>
      </c>
      <c r="Q128" s="7">
        <v>0</v>
      </c>
      <c r="R128" s="7">
        <v>24.42</v>
      </c>
      <c r="S128" s="7">
        <v>48</v>
      </c>
      <c r="T128" s="7">
        <v>19</v>
      </c>
      <c r="U128" s="7">
        <v>19</v>
      </c>
      <c r="V128" s="7">
        <v>222</v>
      </c>
      <c r="W128" s="7">
        <v>8.73</v>
      </c>
      <c r="X128" s="7">
        <v>60000</v>
      </c>
      <c r="Y128" s="7">
        <v>443.34</v>
      </c>
      <c r="Z128" s="7">
        <v>0</v>
      </c>
      <c r="AA128" s="7">
        <v>27.94</v>
      </c>
      <c r="AB128" s="7">
        <v>2782</v>
      </c>
      <c r="AC128" s="7">
        <v>665000</v>
      </c>
      <c r="AD128" s="7">
        <v>665000</v>
      </c>
      <c r="AE128" s="7">
        <v>347546.87</v>
      </c>
      <c r="AF128" s="7">
        <v>750</v>
      </c>
      <c r="AG128" s="7">
        <v>439</v>
      </c>
      <c r="AH128" s="12">
        <v>750</v>
      </c>
    </row>
    <row r="129" spans="1:34" ht="21" hidden="1" x14ac:dyDescent="0.25">
      <c r="A129" s="11">
        <v>10</v>
      </c>
      <c r="B129" s="8" t="s">
        <v>180</v>
      </c>
      <c r="C129" s="7">
        <v>864</v>
      </c>
      <c r="D129" s="8" t="s">
        <v>118</v>
      </c>
      <c r="E129" s="8" t="s">
        <v>17</v>
      </c>
      <c r="F129" s="8" t="s">
        <v>12</v>
      </c>
      <c r="G129" s="7">
        <v>45000</v>
      </c>
      <c r="H129" s="7">
        <v>35</v>
      </c>
      <c r="I129" s="7">
        <v>35</v>
      </c>
      <c r="J129" s="7">
        <v>5455.62</v>
      </c>
      <c r="K129" s="7">
        <v>3952.9250959999999</v>
      </c>
      <c r="L129" s="7">
        <v>0</v>
      </c>
      <c r="M129" s="7">
        <v>27.54</v>
      </c>
      <c r="N129" s="7">
        <v>20.28</v>
      </c>
      <c r="O129" s="7">
        <v>612464.30000000005</v>
      </c>
      <c r="P129" s="7">
        <v>455858.53905299999</v>
      </c>
      <c r="Q129" s="7">
        <v>0</v>
      </c>
      <c r="R129" s="7">
        <v>25.57</v>
      </c>
      <c r="S129" s="7">
        <v>7</v>
      </c>
      <c r="T129" s="7">
        <v>19</v>
      </c>
      <c r="U129" s="7">
        <v>19</v>
      </c>
      <c r="V129" s="7">
        <v>84</v>
      </c>
      <c r="W129" s="7">
        <v>13.57</v>
      </c>
      <c r="X129" s="7">
        <v>45000</v>
      </c>
      <c r="Y129" s="7">
        <v>0</v>
      </c>
      <c r="Z129" s="7">
        <v>0</v>
      </c>
      <c r="AA129" s="7">
        <v>21.15</v>
      </c>
      <c r="AB129" s="7">
        <v>2782</v>
      </c>
      <c r="AC129" s="7">
        <v>720000</v>
      </c>
      <c r="AD129" s="7">
        <v>720000</v>
      </c>
      <c r="AE129" s="7">
        <v>415422.74</v>
      </c>
      <c r="AF129" s="7">
        <v>525</v>
      </c>
      <c r="AG129" s="7">
        <v>429</v>
      </c>
      <c r="AH129" s="12">
        <v>525</v>
      </c>
    </row>
    <row r="130" spans="1:34" ht="21" hidden="1" x14ac:dyDescent="0.25">
      <c r="A130" s="11">
        <v>12</v>
      </c>
      <c r="B130" s="8" t="s">
        <v>14</v>
      </c>
      <c r="C130" s="7">
        <v>884</v>
      </c>
      <c r="D130" s="8" t="s">
        <v>140</v>
      </c>
      <c r="E130" s="8" t="s">
        <v>17</v>
      </c>
      <c r="F130" s="8" t="s">
        <v>12</v>
      </c>
      <c r="G130" s="7">
        <v>50000</v>
      </c>
      <c r="H130" s="7">
        <v>60</v>
      </c>
      <c r="I130" s="7">
        <v>60</v>
      </c>
      <c r="J130" s="7">
        <v>0</v>
      </c>
      <c r="K130" s="7">
        <v>1468.628422</v>
      </c>
      <c r="L130" s="7">
        <v>0</v>
      </c>
      <c r="M130" s="7">
        <v>0</v>
      </c>
      <c r="N130" s="7">
        <v>1</v>
      </c>
      <c r="O130" s="7">
        <v>306647.53999999998</v>
      </c>
      <c r="P130" s="7">
        <v>231754.31285799999</v>
      </c>
      <c r="Q130" s="7">
        <v>0</v>
      </c>
      <c r="R130" s="7">
        <v>24.42</v>
      </c>
      <c r="S130" s="7">
        <v>0</v>
      </c>
      <c r="T130" s="7">
        <v>19</v>
      </c>
      <c r="U130" s="7">
        <v>19</v>
      </c>
      <c r="V130" s="7">
        <v>22</v>
      </c>
      <c r="W130" s="7">
        <v>2.17</v>
      </c>
      <c r="X130" s="7">
        <v>50000</v>
      </c>
      <c r="Y130" s="7">
        <v>0</v>
      </c>
      <c r="Z130" s="7">
        <v>0</v>
      </c>
      <c r="AA130" s="7">
        <v>27.94</v>
      </c>
      <c r="AB130" s="7">
        <v>2782</v>
      </c>
      <c r="AC130" s="7">
        <v>665000</v>
      </c>
      <c r="AD130" s="7">
        <v>665000</v>
      </c>
      <c r="AE130" s="7">
        <v>347546.87</v>
      </c>
      <c r="AF130" s="7">
        <v>750</v>
      </c>
      <c r="AG130" s="7">
        <v>439</v>
      </c>
      <c r="AH130" s="12">
        <v>750</v>
      </c>
    </row>
    <row r="131" spans="1:34" ht="21" hidden="1" x14ac:dyDescent="0.25">
      <c r="A131" s="11">
        <v>10</v>
      </c>
      <c r="B131" s="8" t="s">
        <v>180</v>
      </c>
      <c r="C131" s="7">
        <v>922</v>
      </c>
      <c r="D131" s="8" t="s">
        <v>59</v>
      </c>
      <c r="E131" s="8" t="s">
        <v>17</v>
      </c>
      <c r="F131" s="8" t="s">
        <v>12</v>
      </c>
      <c r="G131" s="7">
        <v>60000</v>
      </c>
      <c r="H131" s="7">
        <v>65</v>
      </c>
      <c r="I131" s="7">
        <v>65</v>
      </c>
      <c r="J131" s="7">
        <v>54045.71</v>
      </c>
      <c r="K131" s="7">
        <v>39787.175691999997</v>
      </c>
      <c r="L131" s="7">
        <v>0</v>
      </c>
      <c r="M131" s="7">
        <v>26.38</v>
      </c>
      <c r="N131" s="7">
        <v>17.190000000000001</v>
      </c>
      <c r="O131" s="7">
        <v>612464.30000000005</v>
      </c>
      <c r="P131" s="7">
        <v>455858.53905299999</v>
      </c>
      <c r="Q131" s="7">
        <v>0</v>
      </c>
      <c r="R131" s="7">
        <v>25.57</v>
      </c>
      <c r="S131" s="7">
        <v>56</v>
      </c>
      <c r="T131" s="7">
        <v>19</v>
      </c>
      <c r="U131" s="7">
        <v>19</v>
      </c>
      <c r="V131" s="7">
        <v>490</v>
      </c>
      <c r="W131" s="7">
        <v>11.86</v>
      </c>
      <c r="X131" s="7">
        <v>60000</v>
      </c>
      <c r="Y131" s="7">
        <v>2688.4</v>
      </c>
      <c r="Z131" s="7">
        <v>0</v>
      </c>
      <c r="AA131" s="7">
        <v>21.15</v>
      </c>
      <c r="AB131" s="7">
        <v>2782</v>
      </c>
      <c r="AC131" s="7">
        <v>720000</v>
      </c>
      <c r="AD131" s="7">
        <v>720000</v>
      </c>
      <c r="AE131" s="7">
        <v>415422.74</v>
      </c>
      <c r="AF131" s="7">
        <v>525</v>
      </c>
      <c r="AG131" s="7">
        <v>429</v>
      </c>
      <c r="AH131" s="12">
        <v>525</v>
      </c>
    </row>
    <row r="132" spans="1:34" ht="21" hidden="1" x14ac:dyDescent="0.25">
      <c r="A132" s="11">
        <v>4</v>
      </c>
      <c r="B132" s="8" t="s">
        <v>15</v>
      </c>
      <c r="C132" s="7">
        <v>949</v>
      </c>
      <c r="D132" s="8" t="s">
        <v>60</v>
      </c>
      <c r="E132" s="8" t="s">
        <v>17</v>
      </c>
      <c r="F132" s="8" t="s">
        <v>12</v>
      </c>
      <c r="G132" s="7">
        <v>115000</v>
      </c>
      <c r="H132" s="7">
        <v>60</v>
      </c>
      <c r="I132" s="7">
        <v>60</v>
      </c>
      <c r="J132" s="7">
        <v>88963.23</v>
      </c>
      <c r="K132" s="7">
        <v>63376.369452999999</v>
      </c>
      <c r="L132" s="7">
        <v>0</v>
      </c>
      <c r="M132" s="7">
        <v>28.76</v>
      </c>
      <c r="N132" s="7">
        <v>23.73</v>
      </c>
      <c r="O132" s="7">
        <v>513639.38</v>
      </c>
      <c r="P132" s="7">
        <v>369001.02627799998</v>
      </c>
      <c r="Q132" s="7">
        <v>0</v>
      </c>
      <c r="R132" s="7">
        <v>28.16</v>
      </c>
      <c r="S132" s="7">
        <v>50</v>
      </c>
      <c r="T132" s="7">
        <v>19</v>
      </c>
      <c r="U132" s="7">
        <v>19</v>
      </c>
      <c r="V132" s="7">
        <v>581</v>
      </c>
      <c r="W132" s="7">
        <v>16.71</v>
      </c>
      <c r="X132" s="7">
        <v>115000</v>
      </c>
      <c r="Y132" s="7">
        <v>0</v>
      </c>
      <c r="Z132" s="7">
        <v>1</v>
      </c>
      <c r="AA132" s="7">
        <v>23.12</v>
      </c>
      <c r="AB132" s="7">
        <v>2782</v>
      </c>
      <c r="AC132" s="7">
        <v>760000</v>
      </c>
      <c r="AD132" s="7">
        <v>760000</v>
      </c>
      <c r="AE132" s="7">
        <v>534115.29</v>
      </c>
      <c r="AF132" s="7">
        <v>483</v>
      </c>
      <c r="AG132" s="7">
        <v>353</v>
      </c>
      <c r="AH132" s="12">
        <v>483</v>
      </c>
    </row>
    <row r="133" spans="1:34" ht="21" hidden="1" x14ac:dyDescent="0.25">
      <c r="A133" s="11">
        <v>26</v>
      </c>
      <c r="B133" s="8" t="s">
        <v>13</v>
      </c>
      <c r="C133" s="7">
        <v>950</v>
      </c>
      <c r="D133" s="8" t="s">
        <v>61</v>
      </c>
      <c r="E133" s="8" t="s">
        <v>17</v>
      </c>
      <c r="F133" s="8" t="s">
        <v>12</v>
      </c>
      <c r="G133" s="7">
        <v>42000</v>
      </c>
      <c r="H133" s="7">
        <v>46</v>
      </c>
      <c r="I133" s="7">
        <v>46</v>
      </c>
      <c r="J133" s="7">
        <v>29291.74</v>
      </c>
      <c r="K133" s="7">
        <v>22710.38596</v>
      </c>
      <c r="L133" s="7">
        <v>0</v>
      </c>
      <c r="M133" s="7">
        <v>22.47</v>
      </c>
      <c r="N133" s="7">
        <v>26.07</v>
      </c>
      <c r="O133" s="7">
        <v>511611.31</v>
      </c>
      <c r="P133" s="7">
        <v>387941.85510500002</v>
      </c>
      <c r="Q133" s="7">
        <v>0</v>
      </c>
      <c r="R133" s="7">
        <v>24.17</v>
      </c>
      <c r="S133" s="7">
        <v>46</v>
      </c>
      <c r="T133" s="7">
        <v>19</v>
      </c>
      <c r="U133" s="7">
        <v>19</v>
      </c>
      <c r="V133" s="7">
        <v>224</v>
      </c>
      <c r="W133" s="7">
        <v>6.07</v>
      </c>
      <c r="X133" s="7">
        <v>42000</v>
      </c>
      <c r="Y133" s="7">
        <v>0</v>
      </c>
      <c r="Z133" s="7">
        <v>2</v>
      </c>
      <c r="AA133" s="7">
        <v>24.8</v>
      </c>
      <c r="AB133" s="7">
        <v>2782</v>
      </c>
      <c r="AC133" s="7">
        <v>838000</v>
      </c>
      <c r="AD133" s="7">
        <v>838000</v>
      </c>
      <c r="AE133" s="7">
        <v>583373.18000000005</v>
      </c>
      <c r="AF133" s="7">
        <v>621</v>
      </c>
      <c r="AG133" s="7">
        <v>453</v>
      </c>
      <c r="AH133" s="12">
        <v>621</v>
      </c>
    </row>
    <row r="134" spans="1:34" ht="21" hidden="1" x14ac:dyDescent="0.25">
      <c r="A134" s="11">
        <v>6</v>
      </c>
      <c r="B134" s="8" t="s">
        <v>142</v>
      </c>
      <c r="C134" s="7">
        <v>953</v>
      </c>
      <c r="D134" s="8" t="s">
        <v>62</v>
      </c>
      <c r="E134" s="8" t="s">
        <v>17</v>
      </c>
      <c r="F134" s="8" t="s">
        <v>12</v>
      </c>
      <c r="G134" s="7">
        <v>55000</v>
      </c>
      <c r="H134" s="7">
        <v>60</v>
      </c>
      <c r="I134" s="7">
        <v>60</v>
      </c>
      <c r="J134" s="7">
        <v>12128.42</v>
      </c>
      <c r="K134" s="7">
        <v>9236.2761559999999</v>
      </c>
      <c r="L134" s="7">
        <v>0</v>
      </c>
      <c r="M134" s="7">
        <v>23.85</v>
      </c>
      <c r="N134" s="7">
        <v>16.96</v>
      </c>
      <c r="O134" s="7">
        <v>353500.19</v>
      </c>
      <c r="P134" s="7">
        <v>263150.449012</v>
      </c>
      <c r="Q134" s="7">
        <v>0</v>
      </c>
      <c r="R134" s="7">
        <v>25.56</v>
      </c>
      <c r="S134" s="7">
        <v>24</v>
      </c>
      <c r="T134" s="7">
        <v>19</v>
      </c>
      <c r="U134" s="7">
        <v>19</v>
      </c>
      <c r="V134" s="7">
        <v>86</v>
      </c>
      <c r="W134" s="7">
        <v>6.04</v>
      </c>
      <c r="X134" s="7">
        <v>55000</v>
      </c>
      <c r="Y134" s="7">
        <v>771.65</v>
      </c>
      <c r="Z134" s="7">
        <v>0</v>
      </c>
      <c r="AA134" s="7">
        <v>18.46</v>
      </c>
      <c r="AB134" s="7">
        <v>2782</v>
      </c>
      <c r="AC134" s="7">
        <v>1054000</v>
      </c>
      <c r="AD134" s="7">
        <v>1054000</v>
      </c>
      <c r="AE134" s="7">
        <v>562468.07999999996</v>
      </c>
      <c r="AF134" s="7">
        <v>923</v>
      </c>
      <c r="AG134" s="7">
        <v>588</v>
      </c>
      <c r="AH134" s="12">
        <v>923</v>
      </c>
    </row>
    <row r="135" spans="1:34" ht="21" hidden="1" x14ac:dyDescent="0.25">
      <c r="A135" s="11">
        <v>26</v>
      </c>
      <c r="B135" s="8" t="s">
        <v>13</v>
      </c>
      <c r="C135" s="7">
        <v>962</v>
      </c>
      <c r="D135" s="8" t="s">
        <v>63</v>
      </c>
      <c r="E135" s="8" t="s">
        <v>17</v>
      </c>
      <c r="F135" s="8" t="s">
        <v>12</v>
      </c>
      <c r="G135" s="7">
        <v>50000</v>
      </c>
      <c r="H135" s="7">
        <v>49</v>
      </c>
      <c r="I135" s="7">
        <v>49</v>
      </c>
      <c r="J135" s="7">
        <v>30319.86</v>
      </c>
      <c r="K135" s="7">
        <v>22876.545473999999</v>
      </c>
      <c r="L135" s="7">
        <v>0</v>
      </c>
      <c r="M135" s="7">
        <v>24.55</v>
      </c>
      <c r="N135" s="7">
        <v>18.309999999999999</v>
      </c>
      <c r="O135" s="7">
        <v>511611.31</v>
      </c>
      <c r="P135" s="7">
        <v>387941.85510500002</v>
      </c>
      <c r="Q135" s="7">
        <v>0</v>
      </c>
      <c r="R135" s="7">
        <v>24.17</v>
      </c>
      <c r="S135" s="7">
        <v>41</v>
      </c>
      <c r="T135" s="7">
        <v>19</v>
      </c>
      <c r="U135" s="7">
        <v>19</v>
      </c>
      <c r="V135" s="7">
        <v>276</v>
      </c>
      <c r="W135" s="7">
        <v>9.49</v>
      </c>
      <c r="X135" s="7">
        <v>50000</v>
      </c>
      <c r="Y135" s="7">
        <v>0</v>
      </c>
      <c r="Z135" s="7">
        <v>0</v>
      </c>
      <c r="AA135" s="7">
        <v>24.8</v>
      </c>
      <c r="AB135" s="7">
        <v>2782</v>
      </c>
      <c r="AC135" s="7">
        <v>838000</v>
      </c>
      <c r="AD135" s="7">
        <v>838000</v>
      </c>
      <c r="AE135" s="7">
        <v>583373.18000000005</v>
      </c>
      <c r="AF135" s="7">
        <v>621</v>
      </c>
      <c r="AG135" s="7">
        <v>453</v>
      </c>
      <c r="AH135" s="12">
        <v>621</v>
      </c>
    </row>
    <row r="136" spans="1:34" ht="21" hidden="1" x14ac:dyDescent="0.25">
      <c r="A136" s="11">
        <v>4</v>
      </c>
      <c r="B136" s="8" t="s">
        <v>15</v>
      </c>
      <c r="C136" s="7">
        <v>977</v>
      </c>
      <c r="D136" s="8" t="s">
        <v>64</v>
      </c>
      <c r="E136" s="8" t="s">
        <v>17</v>
      </c>
      <c r="F136" s="8" t="s">
        <v>12</v>
      </c>
      <c r="G136" s="7">
        <v>150000</v>
      </c>
      <c r="H136" s="7">
        <v>104</v>
      </c>
      <c r="I136" s="7">
        <v>104</v>
      </c>
      <c r="J136" s="7">
        <v>122450.51</v>
      </c>
      <c r="K136" s="7">
        <v>86272.048125000001</v>
      </c>
      <c r="L136" s="7">
        <v>0</v>
      </c>
      <c r="M136" s="7">
        <v>29.55</v>
      </c>
      <c r="N136" s="7">
        <v>22.67</v>
      </c>
      <c r="O136" s="7">
        <v>513639.38</v>
      </c>
      <c r="P136" s="7">
        <v>369001.02627799998</v>
      </c>
      <c r="Q136" s="7">
        <v>0</v>
      </c>
      <c r="R136" s="7">
        <v>28.16</v>
      </c>
      <c r="S136" s="7">
        <v>71</v>
      </c>
      <c r="T136" s="7">
        <v>19</v>
      </c>
      <c r="U136" s="7">
        <v>19</v>
      </c>
      <c r="V136" s="7">
        <v>687</v>
      </c>
      <c r="W136" s="7">
        <v>17.420000000000002</v>
      </c>
      <c r="X136" s="7">
        <v>150000</v>
      </c>
      <c r="Y136" s="7">
        <v>0</v>
      </c>
      <c r="Z136" s="7">
        <v>3</v>
      </c>
      <c r="AA136" s="7">
        <v>23.12</v>
      </c>
      <c r="AB136" s="7">
        <v>2782</v>
      </c>
      <c r="AC136" s="7">
        <v>760000</v>
      </c>
      <c r="AD136" s="7">
        <v>760000</v>
      </c>
      <c r="AE136" s="7">
        <v>534115.29</v>
      </c>
      <c r="AF136" s="7">
        <v>483</v>
      </c>
      <c r="AG136" s="7">
        <v>353</v>
      </c>
      <c r="AH136" s="12">
        <v>483</v>
      </c>
    </row>
    <row r="137" spans="1:34" ht="21" hidden="1" x14ac:dyDescent="0.25">
      <c r="A137" s="11">
        <v>6</v>
      </c>
      <c r="B137" s="8" t="s">
        <v>142</v>
      </c>
      <c r="C137" s="7">
        <v>983</v>
      </c>
      <c r="D137" s="8" t="s">
        <v>138</v>
      </c>
      <c r="E137" s="8" t="s">
        <v>17</v>
      </c>
      <c r="F137" s="8" t="s">
        <v>12</v>
      </c>
      <c r="G137" s="7">
        <v>64000</v>
      </c>
      <c r="H137" s="7">
        <v>61</v>
      </c>
      <c r="I137" s="7">
        <v>61</v>
      </c>
      <c r="J137" s="7">
        <v>42568.63</v>
      </c>
      <c r="K137" s="7">
        <v>31429.711241000001</v>
      </c>
      <c r="L137" s="7">
        <v>0</v>
      </c>
      <c r="M137" s="7">
        <v>26.17</v>
      </c>
      <c r="N137" s="7">
        <v>18.510000000000002</v>
      </c>
      <c r="O137" s="7">
        <v>353500.19</v>
      </c>
      <c r="P137" s="7">
        <v>263150.449012</v>
      </c>
      <c r="Q137" s="7">
        <v>0</v>
      </c>
      <c r="R137" s="7">
        <v>25.56</v>
      </c>
      <c r="S137" s="7">
        <v>36</v>
      </c>
      <c r="T137" s="7">
        <v>19</v>
      </c>
      <c r="U137" s="7">
        <v>19</v>
      </c>
      <c r="V137" s="7">
        <v>345</v>
      </c>
      <c r="W137" s="7">
        <v>16.05</v>
      </c>
      <c r="X137" s="7">
        <v>64000</v>
      </c>
      <c r="Y137" s="7">
        <v>0</v>
      </c>
      <c r="Z137" s="7">
        <v>0</v>
      </c>
      <c r="AA137" s="7">
        <v>18.46</v>
      </c>
      <c r="AB137" s="7">
        <v>2782</v>
      </c>
      <c r="AC137" s="7">
        <v>1054000</v>
      </c>
      <c r="AD137" s="7">
        <v>1054000</v>
      </c>
      <c r="AE137" s="7">
        <v>562468.07999999996</v>
      </c>
      <c r="AF137" s="7">
        <v>923</v>
      </c>
      <c r="AG137" s="7">
        <v>588</v>
      </c>
      <c r="AH137" s="12">
        <v>923</v>
      </c>
    </row>
    <row r="138" spans="1:34" ht="21" hidden="1" x14ac:dyDescent="0.25">
      <c r="A138" s="11">
        <v>5</v>
      </c>
      <c r="B138" s="8" t="s">
        <v>143</v>
      </c>
      <c r="C138" s="7">
        <v>1004</v>
      </c>
      <c r="D138" s="8" t="s">
        <v>65</v>
      </c>
      <c r="E138" s="8" t="s">
        <v>17</v>
      </c>
      <c r="F138" s="8" t="s">
        <v>12</v>
      </c>
      <c r="G138" s="7">
        <v>0</v>
      </c>
      <c r="H138" s="7">
        <v>0</v>
      </c>
      <c r="I138" s="7">
        <v>0</v>
      </c>
      <c r="J138" s="7">
        <v>11276.23</v>
      </c>
      <c r="K138" s="7">
        <v>8380.2364080000007</v>
      </c>
      <c r="L138" s="7">
        <v>0</v>
      </c>
      <c r="M138" s="7">
        <v>25.68</v>
      </c>
      <c r="N138" s="7">
        <v>33.72</v>
      </c>
      <c r="O138" s="7">
        <v>256363.87</v>
      </c>
      <c r="P138" s="7">
        <v>192405.98953799999</v>
      </c>
      <c r="Q138" s="7">
        <v>0</v>
      </c>
      <c r="R138" s="7">
        <v>24.95</v>
      </c>
      <c r="S138" s="7">
        <v>16</v>
      </c>
      <c r="T138" s="7">
        <v>19</v>
      </c>
      <c r="U138" s="7">
        <v>19</v>
      </c>
      <c r="V138" s="7">
        <v>91</v>
      </c>
      <c r="W138" s="7">
        <v>11.06</v>
      </c>
      <c r="X138" s="7">
        <v>0</v>
      </c>
      <c r="Y138" s="7">
        <v>4744.92</v>
      </c>
      <c r="Z138" s="7">
        <v>0</v>
      </c>
      <c r="AA138" s="7">
        <v>21.71</v>
      </c>
      <c r="AB138" s="7">
        <v>2782</v>
      </c>
      <c r="AC138" s="7">
        <v>450000</v>
      </c>
      <c r="AD138" s="7">
        <v>450000</v>
      </c>
      <c r="AE138" s="7">
        <v>215464.54</v>
      </c>
      <c r="AF138" s="7">
        <v>200</v>
      </c>
      <c r="AG138" s="7">
        <v>116</v>
      </c>
      <c r="AH138" s="12">
        <v>200</v>
      </c>
    </row>
    <row r="139" spans="1:34" ht="21" hidden="1" x14ac:dyDescent="0.25">
      <c r="A139" s="11">
        <v>26</v>
      </c>
      <c r="B139" s="8" t="s">
        <v>13</v>
      </c>
      <c r="C139" s="7">
        <v>1023</v>
      </c>
      <c r="D139" s="8" t="s">
        <v>66</v>
      </c>
      <c r="E139" s="8" t="s">
        <v>17</v>
      </c>
      <c r="F139" s="8" t="s">
        <v>12</v>
      </c>
      <c r="G139" s="7">
        <v>60000</v>
      </c>
      <c r="H139" s="7">
        <v>49</v>
      </c>
      <c r="I139" s="7">
        <v>49</v>
      </c>
      <c r="J139" s="7">
        <v>69591.259999999995</v>
      </c>
      <c r="K139" s="7">
        <v>51810.060129999998</v>
      </c>
      <c r="L139" s="7">
        <v>0</v>
      </c>
      <c r="M139" s="7">
        <v>25.55</v>
      </c>
      <c r="N139" s="7">
        <v>23.63</v>
      </c>
      <c r="O139" s="7">
        <v>511611.31</v>
      </c>
      <c r="P139" s="7">
        <v>387941.85510500002</v>
      </c>
      <c r="Q139" s="7">
        <v>0</v>
      </c>
      <c r="R139" s="7">
        <v>24.17</v>
      </c>
      <c r="S139" s="7">
        <v>49</v>
      </c>
      <c r="T139" s="7">
        <v>19</v>
      </c>
      <c r="U139" s="7">
        <v>19</v>
      </c>
      <c r="V139" s="7">
        <v>391</v>
      </c>
      <c r="W139" s="7">
        <v>10.15</v>
      </c>
      <c r="X139" s="7">
        <v>60000</v>
      </c>
      <c r="Y139" s="7">
        <v>1547.29</v>
      </c>
      <c r="Z139" s="7">
        <v>2</v>
      </c>
      <c r="AA139" s="7">
        <v>24.8</v>
      </c>
      <c r="AB139" s="7">
        <v>2782</v>
      </c>
      <c r="AC139" s="7">
        <v>838000</v>
      </c>
      <c r="AD139" s="7">
        <v>838000</v>
      </c>
      <c r="AE139" s="7">
        <v>583373.18000000005</v>
      </c>
      <c r="AF139" s="7">
        <v>621</v>
      </c>
      <c r="AG139" s="7">
        <v>453</v>
      </c>
      <c r="AH139" s="12">
        <v>621</v>
      </c>
    </row>
    <row r="140" spans="1:34" ht="21" hidden="1" x14ac:dyDescent="0.25">
      <c r="A140" s="11">
        <v>12</v>
      </c>
      <c r="B140" s="8" t="s">
        <v>14</v>
      </c>
      <c r="C140" s="7">
        <v>1036</v>
      </c>
      <c r="D140" s="8" t="s">
        <v>45</v>
      </c>
      <c r="E140" s="8" t="s">
        <v>17</v>
      </c>
      <c r="F140" s="8" t="s">
        <v>12</v>
      </c>
      <c r="G140" s="7">
        <v>50000</v>
      </c>
      <c r="H140" s="7">
        <v>60</v>
      </c>
      <c r="I140" s="7">
        <v>60</v>
      </c>
      <c r="J140" s="7">
        <v>29423.439999999999</v>
      </c>
      <c r="K140" s="7">
        <v>21916.204195999999</v>
      </c>
      <c r="L140" s="7">
        <v>0</v>
      </c>
      <c r="M140" s="7">
        <v>25.51</v>
      </c>
      <c r="N140" s="7">
        <v>15.77</v>
      </c>
      <c r="O140" s="7">
        <v>306647.53999999998</v>
      </c>
      <c r="P140" s="7">
        <v>231754.31285799999</v>
      </c>
      <c r="Q140" s="7">
        <v>0</v>
      </c>
      <c r="R140" s="7">
        <v>24.42</v>
      </c>
      <c r="S140" s="7">
        <v>34</v>
      </c>
      <c r="T140" s="7">
        <v>19</v>
      </c>
      <c r="U140" s="7">
        <v>19</v>
      </c>
      <c r="V140" s="7">
        <v>253</v>
      </c>
      <c r="W140" s="7">
        <v>11.44</v>
      </c>
      <c r="X140" s="7">
        <v>50000</v>
      </c>
      <c r="Y140" s="7">
        <v>0</v>
      </c>
      <c r="Z140" s="7">
        <v>1</v>
      </c>
      <c r="AA140" s="7">
        <v>27.94</v>
      </c>
      <c r="AB140" s="7">
        <v>2782</v>
      </c>
      <c r="AC140" s="7">
        <v>665000</v>
      </c>
      <c r="AD140" s="7">
        <v>665000</v>
      </c>
      <c r="AE140" s="7">
        <v>347546.87</v>
      </c>
      <c r="AF140" s="7">
        <v>750</v>
      </c>
      <c r="AG140" s="7">
        <v>439</v>
      </c>
      <c r="AH140" s="12">
        <v>750</v>
      </c>
    </row>
    <row r="141" spans="1:34" ht="21" hidden="1" x14ac:dyDescent="0.25">
      <c r="A141" s="11">
        <v>12</v>
      </c>
      <c r="B141" s="8" t="s">
        <v>14</v>
      </c>
      <c r="C141" s="7">
        <v>1068</v>
      </c>
      <c r="D141" s="8" t="s">
        <v>67</v>
      </c>
      <c r="E141" s="8" t="s">
        <v>17</v>
      </c>
      <c r="F141" s="8" t="s">
        <v>12</v>
      </c>
      <c r="G141" s="7">
        <v>70000</v>
      </c>
      <c r="H141" s="7">
        <v>65</v>
      </c>
      <c r="I141" s="7">
        <v>65</v>
      </c>
      <c r="J141" s="7">
        <v>45254.8</v>
      </c>
      <c r="K141" s="7">
        <v>33843.137391999997</v>
      </c>
      <c r="L141" s="7">
        <v>0</v>
      </c>
      <c r="M141" s="7">
        <v>25.22</v>
      </c>
      <c r="N141" s="7">
        <v>19.02</v>
      </c>
      <c r="O141" s="7">
        <v>306647.53999999998</v>
      </c>
      <c r="P141" s="7">
        <v>231754.31285799999</v>
      </c>
      <c r="Q141" s="7">
        <v>0</v>
      </c>
      <c r="R141" s="7">
        <v>24.42</v>
      </c>
      <c r="S141" s="7">
        <v>42</v>
      </c>
      <c r="T141" s="7">
        <v>19</v>
      </c>
      <c r="U141" s="7">
        <v>19</v>
      </c>
      <c r="V141" s="7">
        <v>278</v>
      </c>
      <c r="W141" s="7">
        <v>10.44</v>
      </c>
      <c r="X141" s="7">
        <v>70000</v>
      </c>
      <c r="Y141" s="7">
        <v>707.84</v>
      </c>
      <c r="Z141" s="7">
        <v>0</v>
      </c>
      <c r="AA141" s="7">
        <v>27.94</v>
      </c>
      <c r="AB141" s="7">
        <v>2782</v>
      </c>
      <c r="AC141" s="7">
        <v>665000</v>
      </c>
      <c r="AD141" s="7">
        <v>665000</v>
      </c>
      <c r="AE141" s="7">
        <v>347546.87</v>
      </c>
      <c r="AF141" s="7">
        <v>750</v>
      </c>
      <c r="AG141" s="7">
        <v>439</v>
      </c>
      <c r="AH141" s="12">
        <v>750</v>
      </c>
    </row>
    <row r="142" spans="1:34" ht="21" hidden="1" x14ac:dyDescent="0.25">
      <c r="A142" s="11">
        <v>5</v>
      </c>
      <c r="B142" s="8" t="s">
        <v>143</v>
      </c>
      <c r="C142" s="7">
        <v>1125</v>
      </c>
      <c r="D142" s="8" t="s">
        <v>42</v>
      </c>
      <c r="E142" s="8" t="s">
        <v>17</v>
      </c>
      <c r="F142" s="8" t="s">
        <v>12</v>
      </c>
      <c r="G142" s="7">
        <v>80000</v>
      </c>
      <c r="H142" s="7">
        <v>20</v>
      </c>
      <c r="I142" s="7">
        <v>20</v>
      </c>
      <c r="J142" s="7">
        <v>43053.919999999998</v>
      </c>
      <c r="K142" s="7">
        <v>32445.137788</v>
      </c>
      <c r="L142" s="7">
        <v>0</v>
      </c>
      <c r="M142" s="7">
        <v>24.64</v>
      </c>
      <c r="N142" s="7">
        <v>33.07</v>
      </c>
      <c r="O142" s="7">
        <v>256363.87</v>
      </c>
      <c r="P142" s="7">
        <v>192405.98953799999</v>
      </c>
      <c r="Q142" s="7">
        <v>0</v>
      </c>
      <c r="R142" s="7">
        <v>24.95</v>
      </c>
      <c r="S142" s="7">
        <v>19</v>
      </c>
      <c r="T142" s="7">
        <v>19</v>
      </c>
      <c r="U142" s="7">
        <v>19</v>
      </c>
      <c r="V142" s="7">
        <v>45</v>
      </c>
      <c r="W142" s="7">
        <v>4.4000000000000004</v>
      </c>
      <c r="X142" s="7">
        <v>80000</v>
      </c>
      <c r="Y142" s="7">
        <v>392.77</v>
      </c>
      <c r="Z142" s="7">
        <v>0</v>
      </c>
      <c r="AA142" s="7">
        <v>21.71</v>
      </c>
      <c r="AB142" s="7">
        <v>2782</v>
      </c>
      <c r="AC142" s="7">
        <v>450000</v>
      </c>
      <c r="AD142" s="7">
        <v>450000</v>
      </c>
      <c r="AE142" s="7">
        <v>215464.54</v>
      </c>
      <c r="AF142" s="7">
        <v>200</v>
      </c>
      <c r="AG142" s="7">
        <v>116</v>
      </c>
      <c r="AH142" s="12">
        <v>200</v>
      </c>
    </row>
    <row r="143" spans="1:34" ht="21" hidden="1" x14ac:dyDescent="0.25">
      <c r="A143" s="11">
        <v>20</v>
      </c>
      <c r="B143" s="8" t="s">
        <v>30</v>
      </c>
      <c r="C143" s="7">
        <v>1155</v>
      </c>
      <c r="D143" s="8" t="s">
        <v>119</v>
      </c>
      <c r="E143" s="8" t="s">
        <v>17</v>
      </c>
      <c r="F143" s="8" t="s">
        <v>12</v>
      </c>
      <c r="G143" s="7">
        <v>80000</v>
      </c>
      <c r="H143" s="7">
        <v>80</v>
      </c>
      <c r="I143" s="7">
        <v>80</v>
      </c>
      <c r="J143" s="7">
        <v>2444.34</v>
      </c>
      <c r="K143" s="7">
        <v>3058.5214089999999</v>
      </c>
      <c r="L143" s="7">
        <v>0</v>
      </c>
      <c r="M143" s="7">
        <v>-25.13</v>
      </c>
      <c r="N143" s="7">
        <v>15.22</v>
      </c>
      <c r="O143" s="7">
        <v>403253.01</v>
      </c>
      <c r="P143" s="7">
        <v>299537.48450800002</v>
      </c>
      <c r="Q143" s="7">
        <v>0</v>
      </c>
      <c r="R143" s="7">
        <v>25.72</v>
      </c>
      <c r="S143" s="7">
        <v>5</v>
      </c>
      <c r="T143" s="7">
        <v>19</v>
      </c>
      <c r="U143" s="7">
        <v>19</v>
      </c>
      <c r="V143" s="7">
        <v>35</v>
      </c>
      <c r="W143" s="7">
        <v>2.64</v>
      </c>
      <c r="X143" s="7">
        <v>80000</v>
      </c>
      <c r="Y143" s="7">
        <v>0</v>
      </c>
      <c r="Z143" s="7">
        <v>0</v>
      </c>
      <c r="AA143" s="7">
        <v>37.15</v>
      </c>
      <c r="AB143" s="7">
        <v>2782</v>
      </c>
      <c r="AC143" s="7">
        <v>331000</v>
      </c>
      <c r="AD143" s="7">
        <v>331000</v>
      </c>
      <c r="AE143" s="7">
        <v>124844.86</v>
      </c>
      <c r="AF143" s="7">
        <v>285</v>
      </c>
      <c r="AG143" s="7">
        <v>87</v>
      </c>
      <c r="AH143" s="12">
        <v>285</v>
      </c>
    </row>
    <row r="144" spans="1:34" ht="21" hidden="1" x14ac:dyDescent="0.25">
      <c r="A144" s="11">
        <v>5</v>
      </c>
      <c r="B144" s="8" t="s">
        <v>143</v>
      </c>
      <c r="C144" s="7">
        <v>1158</v>
      </c>
      <c r="D144" s="8" t="s">
        <v>139</v>
      </c>
      <c r="E144" s="8" t="s">
        <v>17</v>
      </c>
      <c r="F144" s="8" t="s">
        <v>12</v>
      </c>
      <c r="G144" s="7">
        <v>60000</v>
      </c>
      <c r="H144" s="7">
        <v>70</v>
      </c>
      <c r="I144" s="7">
        <v>70</v>
      </c>
      <c r="J144" s="7">
        <v>4624.8599999999997</v>
      </c>
      <c r="K144" s="7">
        <v>3480.9268350000002</v>
      </c>
      <c r="L144" s="7">
        <v>0</v>
      </c>
      <c r="M144" s="7">
        <v>24.73</v>
      </c>
      <c r="N144" s="7">
        <v>13.43</v>
      </c>
      <c r="O144" s="7">
        <v>256363.87</v>
      </c>
      <c r="P144" s="7">
        <v>192405.98953799999</v>
      </c>
      <c r="Q144" s="7">
        <v>0</v>
      </c>
      <c r="R144" s="7">
        <v>24.95</v>
      </c>
      <c r="S144" s="7">
        <v>6</v>
      </c>
      <c r="T144" s="7">
        <v>19</v>
      </c>
      <c r="U144" s="7">
        <v>19</v>
      </c>
      <c r="V144" s="7">
        <v>79</v>
      </c>
      <c r="W144" s="7">
        <v>14.57</v>
      </c>
      <c r="X144" s="7">
        <v>60000</v>
      </c>
      <c r="Y144" s="7">
        <v>0</v>
      </c>
      <c r="Z144" s="7">
        <v>0</v>
      </c>
      <c r="AA144" s="7">
        <v>21.71</v>
      </c>
      <c r="AB144" s="7">
        <v>2782</v>
      </c>
      <c r="AC144" s="7">
        <v>450000</v>
      </c>
      <c r="AD144" s="7">
        <v>450000</v>
      </c>
      <c r="AE144" s="7">
        <v>215464.54</v>
      </c>
      <c r="AF144" s="7">
        <v>200</v>
      </c>
      <c r="AG144" s="7">
        <v>116</v>
      </c>
      <c r="AH144" s="12">
        <v>200</v>
      </c>
    </row>
    <row r="145" spans="1:34" ht="21" hidden="1" x14ac:dyDescent="0.25">
      <c r="A145" s="11">
        <v>6</v>
      </c>
      <c r="B145" s="8" t="s">
        <v>142</v>
      </c>
      <c r="C145" s="7">
        <v>1171</v>
      </c>
      <c r="D145" s="8" t="s">
        <v>68</v>
      </c>
      <c r="E145" s="8" t="s">
        <v>17</v>
      </c>
      <c r="F145" s="8" t="s">
        <v>12</v>
      </c>
      <c r="G145" s="7">
        <v>74000</v>
      </c>
      <c r="H145" s="7">
        <v>62</v>
      </c>
      <c r="I145" s="7">
        <v>62</v>
      </c>
      <c r="J145" s="7">
        <v>43030.239999999998</v>
      </c>
      <c r="K145" s="7">
        <v>31803.052501999999</v>
      </c>
      <c r="L145" s="7">
        <v>0</v>
      </c>
      <c r="M145" s="7">
        <v>26.09</v>
      </c>
      <c r="N145" s="7">
        <v>17.690000000000001</v>
      </c>
      <c r="O145" s="7">
        <v>353500.19</v>
      </c>
      <c r="P145" s="7">
        <v>263150.449012</v>
      </c>
      <c r="Q145" s="7">
        <v>0</v>
      </c>
      <c r="R145" s="7">
        <v>25.56</v>
      </c>
      <c r="S145" s="7">
        <v>44</v>
      </c>
      <c r="T145" s="7">
        <v>19</v>
      </c>
      <c r="U145" s="7">
        <v>19</v>
      </c>
      <c r="V145" s="7">
        <v>385</v>
      </c>
      <c r="W145" s="7">
        <v>15.21</v>
      </c>
      <c r="X145" s="7">
        <v>74000</v>
      </c>
      <c r="Y145" s="7">
        <v>56.25</v>
      </c>
      <c r="Z145" s="7">
        <v>0</v>
      </c>
      <c r="AA145" s="7">
        <v>18.46</v>
      </c>
      <c r="AB145" s="7">
        <v>2782</v>
      </c>
      <c r="AC145" s="7">
        <v>1054000</v>
      </c>
      <c r="AD145" s="7">
        <v>1054000</v>
      </c>
      <c r="AE145" s="7">
        <v>562468.07999999996</v>
      </c>
      <c r="AF145" s="7">
        <v>923</v>
      </c>
      <c r="AG145" s="7">
        <v>588</v>
      </c>
      <c r="AH145" s="12">
        <v>923</v>
      </c>
    </row>
    <row r="146" spans="1:34" ht="21" hidden="1" x14ac:dyDescent="0.25">
      <c r="A146" s="11">
        <v>6</v>
      </c>
      <c r="B146" s="8" t="s">
        <v>142</v>
      </c>
      <c r="C146" s="7">
        <v>1237</v>
      </c>
      <c r="D146" s="8" t="s">
        <v>69</v>
      </c>
      <c r="E146" s="8" t="s">
        <v>17</v>
      </c>
      <c r="F146" s="8" t="s">
        <v>12</v>
      </c>
      <c r="G146" s="7">
        <v>84000</v>
      </c>
      <c r="H146" s="7">
        <v>76</v>
      </c>
      <c r="I146" s="7">
        <v>76</v>
      </c>
      <c r="J146" s="7">
        <v>22143.89</v>
      </c>
      <c r="K146" s="7">
        <v>16205.944391999999</v>
      </c>
      <c r="L146" s="7">
        <v>0</v>
      </c>
      <c r="M146" s="7">
        <v>26.82</v>
      </c>
      <c r="N146" s="7">
        <v>19.93</v>
      </c>
      <c r="O146" s="7">
        <v>353500.19</v>
      </c>
      <c r="P146" s="7">
        <v>263150.449012</v>
      </c>
      <c r="Q146" s="7">
        <v>0</v>
      </c>
      <c r="R146" s="7">
        <v>25.56</v>
      </c>
      <c r="S146" s="7">
        <v>28</v>
      </c>
      <c r="T146" s="7">
        <v>19</v>
      </c>
      <c r="U146" s="7">
        <v>19</v>
      </c>
      <c r="V146" s="7">
        <v>120</v>
      </c>
      <c r="W146" s="7">
        <v>9.41</v>
      </c>
      <c r="X146" s="7">
        <v>84000</v>
      </c>
      <c r="Y146" s="7">
        <v>368.3</v>
      </c>
      <c r="Z146" s="7">
        <v>0</v>
      </c>
      <c r="AA146" s="7">
        <v>18.46</v>
      </c>
      <c r="AB146" s="7">
        <v>2782</v>
      </c>
      <c r="AC146" s="7">
        <v>1054000</v>
      </c>
      <c r="AD146" s="7">
        <v>1054000</v>
      </c>
      <c r="AE146" s="7">
        <v>562468.07999999996</v>
      </c>
      <c r="AF146" s="7">
        <v>923</v>
      </c>
      <c r="AG146" s="7">
        <v>588</v>
      </c>
      <c r="AH146" s="12">
        <v>923</v>
      </c>
    </row>
    <row r="147" spans="1:34" ht="21" hidden="1" x14ac:dyDescent="0.25">
      <c r="A147" s="11">
        <v>26</v>
      </c>
      <c r="B147" s="8" t="s">
        <v>13</v>
      </c>
      <c r="C147" s="7">
        <v>1238</v>
      </c>
      <c r="D147" s="8" t="s">
        <v>70</v>
      </c>
      <c r="E147" s="8" t="s">
        <v>17</v>
      </c>
      <c r="F147" s="8" t="s">
        <v>12</v>
      </c>
      <c r="G147" s="7">
        <v>60000</v>
      </c>
      <c r="H147" s="7">
        <v>13</v>
      </c>
      <c r="I147" s="7">
        <v>13</v>
      </c>
      <c r="J147" s="7">
        <v>45535.360000000001</v>
      </c>
      <c r="K147" s="7">
        <v>33413.930740999996</v>
      </c>
      <c r="L147" s="7">
        <v>0</v>
      </c>
      <c r="M147" s="7">
        <v>26.62</v>
      </c>
      <c r="N147" s="7">
        <v>30.57</v>
      </c>
      <c r="O147" s="7">
        <v>511611.31</v>
      </c>
      <c r="P147" s="7">
        <v>387941.85510500002</v>
      </c>
      <c r="Q147" s="7">
        <v>0</v>
      </c>
      <c r="R147" s="7">
        <v>24.17</v>
      </c>
      <c r="S147" s="7">
        <v>15</v>
      </c>
      <c r="T147" s="7">
        <v>19</v>
      </c>
      <c r="U147" s="7">
        <v>19</v>
      </c>
      <c r="V147" s="7">
        <v>113</v>
      </c>
      <c r="W147" s="7">
        <v>9.9600000000000009</v>
      </c>
      <c r="X147" s="7">
        <v>60000</v>
      </c>
      <c r="Y147" s="7">
        <v>0</v>
      </c>
      <c r="Z147" s="7">
        <v>6</v>
      </c>
      <c r="AA147" s="7">
        <v>24.8</v>
      </c>
      <c r="AB147" s="7">
        <v>2782</v>
      </c>
      <c r="AC147" s="7">
        <v>838000</v>
      </c>
      <c r="AD147" s="7">
        <v>838000</v>
      </c>
      <c r="AE147" s="7">
        <v>583373.18000000005</v>
      </c>
      <c r="AF147" s="7">
        <v>621</v>
      </c>
      <c r="AG147" s="7">
        <v>453</v>
      </c>
      <c r="AH147" s="12">
        <v>621</v>
      </c>
    </row>
    <row r="148" spans="1:34" ht="21" hidden="1" x14ac:dyDescent="0.25">
      <c r="A148" s="11">
        <v>6</v>
      </c>
      <c r="B148" s="8" t="s">
        <v>142</v>
      </c>
      <c r="C148" s="7">
        <v>1241</v>
      </c>
      <c r="D148" s="8" t="s">
        <v>54</v>
      </c>
      <c r="E148" s="8" t="s">
        <v>17</v>
      </c>
      <c r="F148" s="8" t="s">
        <v>12</v>
      </c>
      <c r="G148" s="7">
        <v>90000</v>
      </c>
      <c r="H148" s="7">
        <v>80</v>
      </c>
      <c r="I148" s="7">
        <v>80</v>
      </c>
      <c r="J148" s="7">
        <v>40427.01</v>
      </c>
      <c r="K148" s="7">
        <v>29409.378367000001</v>
      </c>
      <c r="L148" s="7">
        <v>0</v>
      </c>
      <c r="M148" s="7">
        <v>27.25</v>
      </c>
      <c r="N148" s="7">
        <v>19.72</v>
      </c>
      <c r="O148" s="7">
        <v>353500.19</v>
      </c>
      <c r="P148" s="7">
        <v>263150.449012</v>
      </c>
      <c r="Q148" s="7">
        <v>0</v>
      </c>
      <c r="R148" s="7">
        <v>25.56</v>
      </c>
      <c r="S148" s="7">
        <v>55</v>
      </c>
      <c r="T148" s="7">
        <v>19</v>
      </c>
      <c r="U148" s="7">
        <v>19</v>
      </c>
      <c r="V148" s="7">
        <v>338</v>
      </c>
      <c r="W148" s="7">
        <v>11</v>
      </c>
      <c r="X148" s="7">
        <v>90000</v>
      </c>
      <c r="Y148" s="7">
        <v>347.89</v>
      </c>
      <c r="Z148" s="7">
        <v>0</v>
      </c>
      <c r="AA148" s="7">
        <v>18.46</v>
      </c>
      <c r="AB148" s="7">
        <v>2782</v>
      </c>
      <c r="AC148" s="7">
        <v>1054000</v>
      </c>
      <c r="AD148" s="7">
        <v>1054000</v>
      </c>
      <c r="AE148" s="7">
        <v>562468.07999999996</v>
      </c>
      <c r="AF148" s="7">
        <v>923</v>
      </c>
      <c r="AG148" s="7">
        <v>588</v>
      </c>
      <c r="AH148" s="12">
        <v>923</v>
      </c>
    </row>
    <row r="149" spans="1:34" ht="21" hidden="1" x14ac:dyDescent="0.25">
      <c r="A149" s="11">
        <v>26</v>
      </c>
      <c r="B149" s="8" t="s">
        <v>13</v>
      </c>
      <c r="C149" s="7">
        <v>1265</v>
      </c>
      <c r="D149" s="8" t="s">
        <v>71</v>
      </c>
      <c r="E149" s="8" t="s">
        <v>17</v>
      </c>
      <c r="F149" s="8" t="s">
        <v>12</v>
      </c>
      <c r="G149" s="7">
        <v>110000</v>
      </c>
      <c r="H149" s="7">
        <v>89</v>
      </c>
      <c r="I149" s="7">
        <v>89</v>
      </c>
      <c r="J149" s="7">
        <v>118281.16</v>
      </c>
      <c r="K149" s="7">
        <v>91210.469142000002</v>
      </c>
      <c r="L149" s="7">
        <v>0</v>
      </c>
      <c r="M149" s="7">
        <v>22.89</v>
      </c>
      <c r="N149" s="7">
        <v>23.06</v>
      </c>
      <c r="O149" s="7">
        <v>511611.31</v>
      </c>
      <c r="P149" s="7">
        <v>387941.85510500002</v>
      </c>
      <c r="Q149" s="7">
        <v>0</v>
      </c>
      <c r="R149" s="7">
        <v>24.17</v>
      </c>
      <c r="S149" s="7">
        <v>59</v>
      </c>
      <c r="T149" s="7">
        <v>19</v>
      </c>
      <c r="U149" s="7">
        <v>19</v>
      </c>
      <c r="V149" s="7">
        <v>316</v>
      </c>
      <c r="W149" s="7">
        <v>7.18</v>
      </c>
      <c r="X149" s="7">
        <v>110000</v>
      </c>
      <c r="Y149" s="7">
        <v>7572.54</v>
      </c>
      <c r="Z149" s="7">
        <v>2</v>
      </c>
      <c r="AA149" s="7">
        <v>24.8</v>
      </c>
      <c r="AB149" s="7">
        <v>2782</v>
      </c>
      <c r="AC149" s="7">
        <v>838000</v>
      </c>
      <c r="AD149" s="7">
        <v>838000</v>
      </c>
      <c r="AE149" s="7">
        <v>583373.18000000005</v>
      </c>
      <c r="AF149" s="7">
        <v>621</v>
      </c>
      <c r="AG149" s="7">
        <v>453</v>
      </c>
      <c r="AH149" s="12">
        <v>621</v>
      </c>
    </row>
    <row r="150" spans="1:34" ht="21" hidden="1" x14ac:dyDescent="0.25">
      <c r="A150" s="11">
        <v>10</v>
      </c>
      <c r="B150" s="8" t="s">
        <v>180</v>
      </c>
      <c r="C150" s="7">
        <v>1271</v>
      </c>
      <c r="D150" s="8" t="s">
        <v>72</v>
      </c>
      <c r="E150" s="8" t="s">
        <v>17</v>
      </c>
      <c r="F150" s="8" t="s">
        <v>12</v>
      </c>
      <c r="G150" s="7">
        <v>85000</v>
      </c>
      <c r="H150" s="7">
        <v>65</v>
      </c>
      <c r="I150" s="7">
        <v>65</v>
      </c>
      <c r="J150" s="7">
        <v>53165.33</v>
      </c>
      <c r="K150" s="7">
        <v>39234.603144000001</v>
      </c>
      <c r="L150" s="7">
        <v>0</v>
      </c>
      <c r="M150" s="7">
        <v>26.2</v>
      </c>
      <c r="N150" s="7">
        <v>13.54</v>
      </c>
      <c r="O150" s="7">
        <v>612464.30000000005</v>
      </c>
      <c r="P150" s="7">
        <v>455858.53905299999</v>
      </c>
      <c r="Q150" s="7">
        <v>0</v>
      </c>
      <c r="R150" s="7">
        <v>25.57</v>
      </c>
      <c r="S150" s="7">
        <v>68</v>
      </c>
      <c r="T150" s="7">
        <v>19</v>
      </c>
      <c r="U150" s="7">
        <v>19</v>
      </c>
      <c r="V150" s="7">
        <v>418</v>
      </c>
      <c r="W150" s="7">
        <v>11.06</v>
      </c>
      <c r="X150" s="7">
        <v>85000</v>
      </c>
      <c r="Y150" s="7">
        <v>1269.6600000000001</v>
      </c>
      <c r="Z150" s="7">
        <v>2</v>
      </c>
      <c r="AA150" s="7">
        <v>21.15</v>
      </c>
      <c r="AB150" s="7">
        <v>2782</v>
      </c>
      <c r="AC150" s="7">
        <v>720000</v>
      </c>
      <c r="AD150" s="7">
        <v>720000</v>
      </c>
      <c r="AE150" s="7">
        <v>415422.74</v>
      </c>
      <c r="AF150" s="7">
        <v>525</v>
      </c>
      <c r="AG150" s="7">
        <v>429</v>
      </c>
      <c r="AH150" s="12">
        <v>525</v>
      </c>
    </row>
    <row r="151" spans="1:34" hidden="1" x14ac:dyDescent="0.25">
      <c r="A151" s="11">
        <v>2</v>
      </c>
      <c r="B151" s="8" t="s">
        <v>10</v>
      </c>
      <c r="C151" s="7">
        <v>1280</v>
      </c>
      <c r="D151" s="8" t="s">
        <v>73</v>
      </c>
      <c r="E151" s="8" t="s">
        <v>17</v>
      </c>
      <c r="F151" s="8" t="s">
        <v>12</v>
      </c>
      <c r="G151" s="7">
        <v>90000</v>
      </c>
      <c r="H151" s="7">
        <v>60</v>
      </c>
      <c r="I151" s="7">
        <v>60</v>
      </c>
      <c r="J151" s="7">
        <v>101005.5</v>
      </c>
      <c r="K151" s="7">
        <v>72385.312109999999</v>
      </c>
      <c r="L151" s="7">
        <v>0</v>
      </c>
      <c r="M151" s="7">
        <v>28.34</v>
      </c>
      <c r="N151" s="7">
        <v>20.88</v>
      </c>
      <c r="O151" s="7">
        <v>908207.64</v>
      </c>
      <c r="P151" s="7">
        <v>677234.64758200001</v>
      </c>
      <c r="Q151" s="7">
        <v>0</v>
      </c>
      <c r="R151" s="7">
        <v>25.43</v>
      </c>
      <c r="S151" s="7">
        <v>63</v>
      </c>
      <c r="T151" s="7">
        <v>19</v>
      </c>
      <c r="U151" s="7">
        <v>19</v>
      </c>
      <c r="V151" s="7">
        <v>645</v>
      </c>
      <c r="W151" s="7">
        <v>16.34</v>
      </c>
      <c r="X151" s="7">
        <v>90000</v>
      </c>
      <c r="Y151" s="7">
        <v>532.28</v>
      </c>
      <c r="Z151" s="7">
        <v>1</v>
      </c>
      <c r="AA151" s="7">
        <v>21.72</v>
      </c>
      <c r="AB151" s="7">
        <v>2782</v>
      </c>
      <c r="AC151" s="7">
        <v>1331000</v>
      </c>
      <c r="AD151" s="7">
        <v>1331000</v>
      </c>
      <c r="AE151" s="7">
        <v>1018464.25</v>
      </c>
      <c r="AF151" s="7">
        <v>845</v>
      </c>
      <c r="AG151" s="7">
        <v>634</v>
      </c>
      <c r="AH151" s="12">
        <v>845</v>
      </c>
    </row>
    <row r="152" spans="1:34" ht="21" hidden="1" x14ac:dyDescent="0.25">
      <c r="A152" s="11">
        <v>17</v>
      </c>
      <c r="B152" s="8" t="s">
        <v>16</v>
      </c>
      <c r="C152" s="7">
        <v>1292</v>
      </c>
      <c r="D152" s="8" t="s">
        <v>74</v>
      </c>
      <c r="E152" s="8" t="s">
        <v>17</v>
      </c>
      <c r="F152" s="8" t="s">
        <v>12</v>
      </c>
      <c r="G152" s="7">
        <v>100000</v>
      </c>
      <c r="H152" s="7">
        <v>55</v>
      </c>
      <c r="I152" s="7">
        <v>55</v>
      </c>
      <c r="J152" s="7">
        <v>104379.93</v>
      </c>
      <c r="K152" s="7">
        <v>71566.933313999994</v>
      </c>
      <c r="L152" s="7">
        <v>0</v>
      </c>
      <c r="M152" s="7">
        <v>31.44</v>
      </c>
      <c r="N152" s="7">
        <v>23.24</v>
      </c>
      <c r="O152" s="7">
        <v>296737.34000000003</v>
      </c>
      <c r="P152" s="7">
        <v>207292.61917799999</v>
      </c>
      <c r="Q152" s="7">
        <v>0</v>
      </c>
      <c r="R152" s="7">
        <v>30.14</v>
      </c>
      <c r="S152" s="7">
        <v>49</v>
      </c>
      <c r="T152" s="7">
        <v>19</v>
      </c>
      <c r="U152" s="7">
        <v>19</v>
      </c>
      <c r="V152" s="7">
        <v>572</v>
      </c>
      <c r="W152" s="7">
        <v>18.91</v>
      </c>
      <c r="X152" s="7">
        <v>100000</v>
      </c>
      <c r="Y152" s="7">
        <v>1112.83</v>
      </c>
      <c r="Z152" s="7">
        <v>0</v>
      </c>
      <c r="AA152" s="7">
        <v>23.4</v>
      </c>
      <c r="AB152" s="7">
        <v>2782</v>
      </c>
      <c r="AC152" s="7">
        <v>621000</v>
      </c>
      <c r="AD152" s="7">
        <v>621000</v>
      </c>
      <c r="AE152" s="7">
        <v>306617.2</v>
      </c>
      <c r="AF152" s="7">
        <v>340</v>
      </c>
      <c r="AG152" s="7">
        <v>138</v>
      </c>
      <c r="AH152" s="12">
        <v>340</v>
      </c>
    </row>
    <row r="153" spans="1:34" ht="21" hidden="1" x14ac:dyDescent="0.25">
      <c r="A153" s="11">
        <v>12</v>
      </c>
      <c r="B153" s="8" t="s">
        <v>14</v>
      </c>
      <c r="C153" s="7">
        <v>1330</v>
      </c>
      <c r="D153" s="8" t="s">
        <v>45</v>
      </c>
      <c r="E153" s="8" t="s">
        <v>17</v>
      </c>
      <c r="F153" s="8" t="s">
        <v>12</v>
      </c>
      <c r="G153" s="7">
        <v>60000</v>
      </c>
      <c r="H153" s="7">
        <v>70</v>
      </c>
      <c r="I153" s="7">
        <v>70</v>
      </c>
      <c r="J153" s="7">
        <v>24226.59</v>
      </c>
      <c r="K153" s="7">
        <v>19243.580254</v>
      </c>
      <c r="L153" s="7">
        <v>0</v>
      </c>
      <c r="M153" s="7">
        <v>20.57</v>
      </c>
      <c r="N153" s="7">
        <v>12.44</v>
      </c>
      <c r="O153" s="7">
        <v>306647.53999999998</v>
      </c>
      <c r="P153" s="7">
        <v>231754.31285799999</v>
      </c>
      <c r="Q153" s="7">
        <v>0</v>
      </c>
      <c r="R153" s="7">
        <v>24.42</v>
      </c>
      <c r="S153" s="7">
        <v>34</v>
      </c>
      <c r="T153" s="7">
        <v>19</v>
      </c>
      <c r="U153" s="7">
        <v>19</v>
      </c>
      <c r="V153" s="7">
        <v>142</v>
      </c>
      <c r="W153" s="7">
        <v>6.48</v>
      </c>
      <c r="X153" s="7">
        <v>60000</v>
      </c>
      <c r="Y153" s="7">
        <v>992.06</v>
      </c>
      <c r="Z153" s="7">
        <v>0</v>
      </c>
      <c r="AA153" s="7">
        <v>27.94</v>
      </c>
      <c r="AB153" s="7">
        <v>2782</v>
      </c>
      <c r="AC153" s="7">
        <v>665000</v>
      </c>
      <c r="AD153" s="7">
        <v>665000</v>
      </c>
      <c r="AE153" s="7">
        <v>347546.87</v>
      </c>
      <c r="AF153" s="7">
        <v>750</v>
      </c>
      <c r="AG153" s="7">
        <v>439</v>
      </c>
      <c r="AH153" s="12">
        <v>750</v>
      </c>
    </row>
    <row r="154" spans="1:34" ht="21" hidden="1" x14ac:dyDescent="0.25">
      <c r="A154" s="11">
        <v>26</v>
      </c>
      <c r="B154" s="8" t="s">
        <v>13</v>
      </c>
      <c r="C154" s="7">
        <v>1336</v>
      </c>
      <c r="D154" s="8" t="s">
        <v>75</v>
      </c>
      <c r="E154" s="8" t="s">
        <v>17</v>
      </c>
      <c r="F154" s="8" t="s">
        <v>12</v>
      </c>
      <c r="G154" s="7">
        <v>55000</v>
      </c>
      <c r="H154" s="7">
        <v>57</v>
      </c>
      <c r="I154" s="7">
        <v>57</v>
      </c>
      <c r="J154" s="7">
        <v>30080.14</v>
      </c>
      <c r="K154" s="7">
        <v>21236.054324000001</v>
      </c>
      <c r="L154" s="7">
        <v>0</v>
      </c>
      <c r="M154" s="7">
        <v>29.4</v>
      </c>
      <c r="N154" s="7">
        <v>17.670000000000002</v>
      </c>
      <c r="O154" s="7">
        <v>511611.31</v>
      </c>
      <c r="P154" s="7">
        <v>387941.85510500002</v>
      </c>
      <c r="Q154" s="7">
        <v>0</v>
      </c>
      <c r="R154" s="7">
        <v>24.17</v>
      </c>
      <c r="S154" s="7">
        <v>25</v>
      </c>
      <c r="T154" s="7">
        <v>19</v>
      </c>
      <c r="U154" s="7">
        <v>19</v>
      </c>
      <c r="V154" s="7">
        <v>227</v>
      </c>
      <c r="W154" s="7">
        <v>12.46</v>
      </c>
      <c r="X154" s="7">
        <v>55000</v>
      </c>
      <c r="Y154" s="7">
        <v>0</v>
      </c>
      <c r="Z154" s="7">
        <v>0</v>
      </c>
      <c r="AA154" s="7">
        <v>24.8</v>
      </c>
      <c r="AB154" s="7">
        <v>2782</v>
      </c>
      <c r="AC154" s="7">
        <v>838000</v>
      </c>
      <c r="AD154" s="7">
        <v>838000</v>
      </c>
      <c r="AE154" s="7">
        <v>583373.18000000005</v>
      </c>
      <c r="AF154" s="7">
        <v>621</v>
      </c>
      <c r="AG154" s="7">
        <v>453</v>
      </c>
      <c r="AH154" s="12">
        <v>621</v>
      </c>
    </row>
    <row r="155" spans="1:34" ht="21" hidden="1" x14ac:dyDescent="0.25">
      <c r="A155" s="11">
        <v>17</v>
      </c>
      <c r="B155" s="8" t="s">
        <v>16</v>
      </c>
      <c r="C155" s="7">
        <v>1343</v>
      </c>
      <c r="D155" s="8" t="s">
        <v>76</v>
      </c>
      <c r="E155" s="8" t="s">
        <v>17</v>
      </c>
      <c r="F155" s="8" t="s">
        <v>12</v>
      </c>
      <c r="G155" s="7">
        <v>45000</v>
      </c>
      <c r="H155" s="7">
        <v>1</v>
      </c>
      <c r="I155" s="7">
        <v>1</v>
      </c>
      <c r="J155" s="7">
        <v>1850.03</v>
      </c>
      <c r="K155" s="7">
        <v>1335.228204</v>
      </c>
      <c r="L155" s="7">
        <v>0</v>
      </c>
      <c r="M155" s="7">
        <v>27.83</v>
      </c>
      <c r="N155" s="7">
        <v>28</v>
      </c>
      <c r="O155" s="7">
        <v>296737.34000000003</v>
      </c>
      <c r="P155" s="7">
        <v>207292.61917799999</v>
      </c>
      <c r="Q155" s="7">
        <v>0</v>
      </c>
      <c r="R155" s="7">
        <v>30.14</v>
      </c>
      <c r="S155" s="7">
        <v>1</v>
      </c>
      <c r="T155" s="7">
        <v>19</v>
      </c>
      <c r="U155" s="7">
        <v>19</v>
      </c>
      <c r="V155" s="7">
        <v>14</v>
      </c>
      <c r="W155" s="7">
        <v>7</v>
      </c>
      <c r="X155" s="7">
        <v>45000</v>
      </c>
      <c r="Y155" s="7">
        <v>103.6</v>
      </c>
      <c r="Z155" s="7">
        <v>0</v>
      </c>
      <c r="AA155" s="7">
        <v>23.4</v>
      </c>
      <c r="AB155" s="7">
        <v>2782</v>
      </c>
      <c r="AC155" s="7">
        <v>621000</v>
      </c>
      <c r="AD155" s="7">
        <v>621000</v>
      </c>
      <c r="AE155" s="7">
        <v>306617.2</v>
      </c>
      <c r="AF155" s="7">
        <v>340</v>
      </c>
      <c r="AG155" s="7">
        <v>138</v>
      </c>
      <c r="AH155" s="12">
        <v>340</v>
      </c>
    </row>
    <row r="156" spans="1:34" ht="21" hidden="1" x14ac:dyDescent="0.25">
      <c r="A156" s="11">
        <v>10</v>
      </c>
      <c r="B156" s="8" t="s">
        <v>180</v>
      </c>
      <c r="C156" s="7">
        <v>1359</v>
      </c>
      <c r="D156" s="8" t="s">
        <v>77</v>
      </c>
      <c r="E156" s="8" t="s">
        <v>17</v>
      </c>
      <c r="F156" s="8" t="s">
        <v>12</v>
      </c>
      <c r="G156" s="7">
        <v>80000</v>
      </c>
      <c r="H156" s="7">
        <v>50</v>
      </c>
      <c r="I156" s="7">
        <v>50</v>
      </c>
      <c r="J156" s="7">
        <v>36837.440000000002</v>
      </c>
      <c r="K156" s="7">
        <v>26289.232777000001</v>
      </c>
      <c r="L156" s="7">
        <v>0</v>
      </c>
      <c r="M156" s="7">
        <v>28.63</v>
      </c>
      <c r="N156" s="7">
        <v>24.76</v>
      </c>
      <c r="O156" s="7">
        <v>612464.30000000005</v>
      </c>
      <c r="P156" s="7">
        <v>455858.53905299999</v>
      </c>
      <c r="Q156" s="7">
        <v>0</v>
      </c>
      <c r="R156" s="7">
        <v>25.57</v>
      </c>
      <c r="S156" s="7">
        <v>28</v>
      </c>
      <c r="T156" s="7">
        <v>19</v>
      </c>
      <c r="U156" s="7">
        <v>19</v>
      </c>
      <c r="V156" s="7">
        <v>135</v>
      </c>
      <c r="W156" s="7">
        <v>8.3800000000000008</v>
      </c>
      <c r="X156" s="7">
        <v>80000</v>
      </c>
      <c r="Y156" s="7">
        <v>3726.34</v>
      </c>
      <c r="Z156" s="7">
        <v>0</v>
      </c>
      <c r="AA156" s="7">
        <v>21.15</v>
      </c>
      <c r="AB156" s="7">
        <v>2782</v>
      </c>
      <c r="AC156" s="7">
        <v>720000</v>
      </c>
      <c r="AD156" s="7">
        <v>720000</v>
      </c>
      <c r="AE156" s="7">
        <v>415422.74</v>
      </c>
      <c r="AF156" s="7">
        <v>525</v>
      </c>
      <c r="AG156" s="7">
        <v>429</v>
      </c>
      <c r="AH156" s="12">
        <v>525</v>
      </c>
    </row>
    <row r="157" spans="1:34" ht="21" hidden="1" x14ac:dyDescent="0.25">
      <c r="A157" s="11">
        <v>6</v>
      </c>
      <c r="B157" s="8" t="s">
        <v>142</v>
      </c>
      <c r="C157" s="7">
        <v>1385</v>
      </c>
      <c r="D157" s="8" t="s">
        <v>78</v>
      </c>
      <c r="E157" s="8" t="s">
        <v>17</v>
      </c>
      <c r="F157" s="8" t="s">
        <v>12</v>
      </c>
      <c r="G157" s="7">
        <v>78000</v>
      </c>
      <c r="H157" s="7">
        <v>77</v>
      </c>
      <c r="I157" s="7">
        <v>77</v>
      </c>
      <c r="J157" s="7">
        <v>66034.2</v>
      </c>
      <c r="K157" s="7">
        <v>49461.843953000003</v>
      </c>
      <c r="L157" s="7">
        <v>0</v>
      </c>
      <c r="M157" s="7">
        <v>25.1</v>
      </c>
      <c r="N157" s="7">
        <v>18.350000000000001</v>
      </c>
      <c r="O157" s="7">
        <v>353500.19</v>
      </c>
      <c r="P157" s="7">
        <v>263150.449012</v>
      </c>
      <c r="Q157" s="7">
        <v>0</v>
      </c>
      <c r="R157" s="7">
        <v>25.56</v>
      </c>
      <c r="S157" s="7">
        <v>77</v>
      </c>
      <c r="T157" s="7">
        <v>19</v>
      </c>
      <c r="U157" s="7">
        <v>19</v>
      </c>
      <c r="V157" s="7">
        <v>487</v>
      </c>
      <c r="W157" s="7">
        <v>13.2</v>
      </c>
      <c r="X157" s="7">
        <v>78000</v>
      </c>
      <c r="Y157" s="7">
        <v>245.58</v>
      </c>
      <c r="Z157" s="7">
        <v>0</v>
      </c>
      <c r="AA157" s="7">
        <v>18.46</v>
      </c>
      <c r="AB157" s="7">
        <v>2782</v>
      </c>
      <c r="AC157" s="7">
        <v>1054000</v>
      </c>
      <c r="AD157" s="7">
        <v>1054000</v>
      </c>
      <c r="AE157" s="7">
        <v>562468.07999999996</v>
      </c>
      <c r="AF157" s="7">
        <v>923</v>
      </c>
      <c r="AG157" s="7">
        <v>588</v>
      </c>
      <c r="AH157" s="12">
        <v>923</v>
      </c>
    </row>
    <row r="158" spans="1:34" ht="21" hidden="1" x14ac:dyDescent="0.25">
      <c r="A158" s="11">
        <v>20</v>
      </c>
      <c r="B158" s="8" t="s">
        <v>30</v>
      </c>
      <c r="C158" s="7">
        <v>1387</v>
      </c>
      <c r="D158" s="8" t="s">
        <v>79</v>
      </c>
      <c r="E158" s="8" t="s">
        <v>17</v>
      </c>
      <c r="F158" s="8" t="s">
        <v>12</v>
      </c>
      <c r="G158" s="7">
        <v>60000</v>
      </c>
      <c r="H158" s="7">
        <v>45</v>
      </c>
      <c r="I158" s="7">
        <v>45</v>
      </c>
      <c r="J158" s="7">
        <v>30244.49</v>
      </c>
      <c r="K158" s="7">
        <v>22055.737588</v>
      </c>
      <c r="L158" s="7">
        <v>0</v>
      </c>
      <c r="M158" s="7">
        <v>27.08</v>
      </c>
      <c r="N158" s="7">
        <v>43.07</v>
      </c>
      <c r="O158" s="7">
        <v>403253.01</v>
      </c>
      <c r="P158" s="7">
        <v>299537.48450800002</v>
      </c>
      <c r="Q158" s="7">
        <v>0</v>
      </c>
      <c r="R158" s="7">
        <v>25.72</v>
      </c>
      <c r="S158" s="7">
        <v>13</v>
      </c>
      <c r="T158" s="7">
        <v>19</v>
      </c>
      <c r="U158" s="7">
        <v>19</v>
      </c>
      <c r="V158" s="7">
        <v>115</v>
      </c>
      <c r="W158" s="7">
        <v>7.5</v>
      </c>
      <c r="X158" s="7">
        <v>60000</v>
      </c>
      <c r="Y158" s="7">
        <v>4464.21</v>
      </c>
      <c r="Z158" s="7">
        <v>0</v>
      </c>
      <c r="AA158" s="7">
        <v>37.15</v>
      </c>
      <c r="AB158" s="7">
        <v>2782</v>
      </c>
      <c r="AC158" s="7">
        <v>331000</v>
      </c>
      <c r="AD158" s="7">
        <v>331000</v>
      </c>
      <c r="AE158" s="7">
        <v>124844.86</v>
      </c>
      <c r="AF158" s="7">
        <v>285</v>
      </c>
      <c r="AG158" s="7">
        <v>87</v>
      </c>
      <c r="AH158" s="12">
        <v>285</v>
      </c>
    </row>
    <row r="159" spans="1:34" ht="21" hidden="1" x14ac:dyDescent="0.25">
      <c r="A159" s="11">
        <v>12</v>
      </c>
      <c r="B159" s="8" t="s">
        <v>14</v>
      </c>
      <c r="C159" s="7">
        <v>1390</v>
      </c>
      <c r="D159" s="8" t="s">
        <v>80</v>
      </c>
      <c r="E159" s="8" t="s">
        <v>17</v>
      </c>
      <c r="F159" s="8" t="s">
        <v>12</v>
      </c>
      <c r="G159" s="7">
        <v>60000</v>
      </c>
      <c r="H159" s="7">
        <v>60</v>
      </c>
      <c r="I159" s="7">
        <v>60</v>
      </c>
      <c r="J159" s="7">
        <v>27804.71</v>
      </c>
      <c r="K159" s="7">
        <v>20454.286979</v>
      </c>
      <c r="L159" s="7">
        <v>0</v>
      </c>
      <c r="M159" s="7">
        <v>26.44</v>
      </c>
      <c r="N159" s="7">
        <v>15.74</v>
      </c>
      <c r="O159" s="7">
        <v>306647.53999999998</v>
      </c>
      <c r="P159" s="7">
        <v>231754.31285799999</v>
      </c>
      <c r="Q159" s="7">
        <v>0</v>
      </c>
      <c r="R159" s="7">
        <v>24.42</v>
      </c>
      <c r="S159" s="7">
        <v>47</v>
      </c>
      <c r="T159" s="7">
        <v>19</v>
      </c>
      <c r="U159" s="7">
        <v>19</v>
      </c>
      <c r="V159" s="7">
        <v>197</v>
      </c>
      <c r="W159" s="7">
        <v>9.41</v>
      </c>
      <c r="X159" s="7">
        <v>60000</v>
      </c>
      <c r="Y159" s="7">
        <v>456.34</v>
      </c>
      <c r="Z159" s="7">
        <v>0</v>
      </c>
      <c r="AA159" s="7">
        <v>27.94</v>
      </c>
      <c r="AB159" s="7">
        <v>2782</v>
      </c>
      <c r="AC159" s="7">
        <v>665000</v>
      </c>
      <c r="AD159" s="7">
        <v>665000</v>
      </c>
      <c r="AE159" s="7">
        <v>347546.87</v>
      </c>
      <c r="AF159" s="7">
        <v>750</v>
      </c>
      <c r="AG159" s="7">
        <v>439</v>
      </c>
      <c r="AH159" s="12">
        <v>750</v>
      </c>
    </row>
    <row r="160" spans="1:34" ht="21" hidden="1" x14ac:dyDescent="0.25">
      <c r="A160" s="11">
        <v>26</v>
      </c>
      <c r="B160" s="8" t="s">
        <v>13</v>
      </c>
      <c r="C160" s="7">
        <v>1394</v>
      </c>
      <c r="D160" s="8" t="s">
        <v>81</v>
      </c>
      <c r="E160" s="8" t="s">
        <v>17</v>
      </c>
      <c r="F160" s="8" t="s">
        <v>12</v>
      </c>
      <c r="G160" s="7">
        <v>52000</v>
      </c>
      <c r="H160" s="7">
        <v>64</v>
      </c>
      <c r="I160" s="7">
        <v>64</v>
      </c>
      <c r="J160" s="7">
        <v>25688.73</v>
      </c>
      <c r="K160" s="7">
        <v>19160.594338999999</v>
      </c>
      <c r="L160" s="7">
        <v>0</v>
      </c>
      <c r="M160" s="7">
        <v>25.41</v>
      </c>
      <c r="N160" s="7">
        <v>20.94</v>
      </c>
      <c r="O160" s="7">
        <v>511611.31</v>
      </c>
      <c r="P160" s="7">
        <v>387941.85510500002</v>
      </c>
      <c r="Q160" s="7">
        <v>0</v>
      </c>
      <c r="R160" s="7">
        <v>24.17</v>
      </c>
      <c r="S160" s="7">
        <v>54</v>
      </c>
      <c r="T160" s="7">
        <v>19</v>
      </c>
      <c r="U160" s="7">
        <v>19</v>
      </c>
      <c r="V160" s="7">
        <v>236</v>
      </c>
      <c r="W160" s="7">
        <v>7.45</v>
      </c>
      <c r="X160" s="7">
        <v>52000</v>
      </c>
      <c r="Y160" s="7">
        <v>21</v>
      </c>
      <c r="Z160" s="7">
        <v>0</v>
      </c>
      <c r="AA160" s="7">
        <v>24.8</v>
      </c>
      <c r="AB160" s="7">
        <v>2782</v>
      </c>
      <c r="AC160" s="7">
        <v>838000</v>
      </c>
      <c r="AD160" s="7">
        <v>838000</v>
      </c>
      <c r="AE160" s="7">
        <v>583373.18000000005</v>
      </c>
      <c r="AF160" s="7">
        <v>621</v>
      </c>
      <c r="AG160" s="7">
        <v>453</v>
      </c>
      <c r="AH160" s="12">
        <v>621</v>
      </c>
    </row>
    <row r="161" spans="1:34" ht="21" hidden="1" x14ac:dyDescent="0.25">
      <c r="A161" s="11">
        <v>12</v>
      </c>
      <c r="B161" s="8" t="s">
        <v>14</v>
      </c>
      <c r="C161" s="7">
        <v>1402</v>
      </c>
      <c r="D161" s="8" t="s">
        <v>82</v>
      </c>
      <c r="E161" s="8" t="s">
        <v>17</v>
      </c>
      <c r="F161" s="8" t="s">
        <v>12</v>
      </c>
      <c r="G161" s="7">
        <v>52000</v>
      </c>
      <c r="H161" s="7">
        <v>60</v>
      </c>
      <c r="I161" s="7">
        <v>60</v>
      </c>
      <c r="J161" s="7">
        <v>56263.56</v>
      </c>
      <c r="K161" s="7">
        <v>42147.385290999999</v>
      </c>
      <c r="L161" s="7">
        <v>0</v>
      </c>
      <c r="M161" s="7">
        <v>25.09</v>
      </c>
      <c r="N161" s="7">
        <v>34.28</v>
      </c>
      <c r="O161" s="7">
        <v>306647.53999999998</v>
      </c>
      <c r="P161" s="7">
        <v>231754.31285799999</v>
      </c>
      <c r="Q161" s="7">
        <v>0</v>
      </c>
      <c r="R161" s="7">
        <v>24.42</v>
      </c>
      <c r="S161" s="7">
        <v>44</v>
      </c>
      <c r="T161" s="7">
        <v>19</v>
      </c>
      <c r="U161" s="7">
        <v>19</v>
      </c>
      <c r="V161" s="7">
        <v>266</v>
      </c>
      <c r="W161" s="7">
        <v>6.4</v>
      </c>
      <c r="X161" s="7">
        <v>52000</v>
      </c>
      <c r="Y161" s="7">
        <v>2119.6799999999998</v>
      </c>
      <c r="Z161" s="7">
        <v>3</v>
      </c>
      <c r="AA161" s="7">
        <v>27.94</v>
      </c>
      <c r="AB161" s="7">
        <v>2782</v>
      </c>
      <c r="AC161" s="7">
        <v>665000</v>
      </c>
      <c r="AD161" s="7">
        <v>665000</v>
      </c>
      <c r="AE161" s="7">
        <v>347546.87</v>
      </c>
      <c r="AF161" s="7">
        <v>750</v>
      </c>
      <c r="AG161" s="7">
        <v>439</v>
      </c>
      <c r="AH161" s="12">
        <v>750</v>
      </c>
    </row>
    <row r="162" spans="1:34" ht="21" hidden="1" x14ac:dyDescent="0.25">
      <c r="A162" s="11">
        <v>5</v>
      </c>
      <c r="B162" s="8" t="s">
        <v>143</v>
      </c>
      <c r="C162" s="7">
        <v>1404</v>
      </c>
      <c r="D162" s="8" t="s">
        <v>120</v>
      </c>
      <c r="E162" s="8" t="s">
        <v>17</v>
      </c>
      <c r="F162" s="8" t="s">
        <v>12</v>
      </c>
      <c r="G162" s="7">
        <v>30000</v>
      </c>
      <c r="H162" s="7">
        <v>30</v>
      </c>
      <c r="I162" s="7">
        <v>30</v>
      </c>
      <c r="J162" s="7">
        <v>7806.13</v>
      </c>
      <c r="K162" s="7">
        <v>5686.9594989999996</v>
      </c>
      <c r="L162" s="7">
        <v>0</v>
      </c>
      <c r="M162" s="7">
        <v>27.15</v>
      </c>
      <c r="N162" s="7">
        <v>16.38</v>
      </c>
      <c r="O162" s="7">
        <v>256363.87</v>
      </c>
      <c r="P162" s="7">
        <v>192405.98953799999</v>
      </c>
      <c r="Q162" s="7">
        <v>0</v>
      </c>
      <c r="R162" s="7">
        <v>24.95</v>
      </c>
      <c r="S162" s="7">
        <v>10</v>
      </c>
      <c r="T162" s="7">
        <v>19</v>
      </c>
      <c r="U162" s="7">
        <v>19</v>
      </c>
      <c r="V162" s="7">
        <v>149</v>
      </c>
      <c r="W162" s="7">
        <v>15.67</v>
      </c>
      <c r="X162" s="7">
        <v>30000</v>
      </c>
      <c r="Y162" s="7">
        <v>0</v>
      </c>
      <c r="Z162" s="7">
        <v>1</v>
      </c>
      <c r="AA162" s="7">
        <v>21.71</v>
      </c>
      <c r="AB162" s="7">
        <v>2782</v>
      </c>
      <c r="AC162" s="7">
        <v>450000</v>
      </c>
      <c r="AD162" s="7">
        <v>450000</v>
      </c>
      <c r="AE162" s="7">
        <v>215464.54</v>
      </c>
      <c r="AF162" s="7">
        <v>200</v>
      </c>
      <c r="AG162" s="7">
        <v>116</v>
      </c>
      <c r="AH162" s="12">
        <v>200</v>
      </c>
    </row>
    <row r="163" spans="1:34" ht="31.5" hidden="1" x14ac:dyDescent="0.25">
      <c r="A163" s="11">
        <v>14</v>
      </c>
      <c r="B163" s="8" t="s">
        <v>31</v>
      </c>
      <c r="C163" s="7">
        <v>1413</v>
      </c>
      <c r="D163" s="8" t="s">
        <v>83</v>
      </c>
      <c r="E163" s="8" t="s">
        <v>17</v>
      </c>
      <c r="F163" s="8" t="s">
        <v>12</v>
      </c>
      <c r="G163" s="7">
        <v>15000</v>
      </c>
      <c r="H163" s="7">
        <v>40</v>
      </c>
      <c r="I163" s="7">
        <v>40</v>
      </c>
      <c r="J163" s="7">
        <v>9722.77</v>
      </c>
      <c r="K163" s="7">
        <v>7412.9736320000002</v>
      </c>
      <c r="L163" s="7">
        <v>0</v>
      </c>
      <c r="M163" s="7">
        <v>23.76</v>
      </c>
      <c r="N163" s="7">
        <v>56.81</v>
      </c>
      <c r="O163" s="7">
        <v>85558.63</v>
      </c>
      <c r="P163" s="7">
        <v>59907.004891999997</v>
      </c>
      <c r="Q163" s="7">
        <v>0</v>
      </c>
      <c r="R163" s="7">
        <v>29.98</v>
      </c>
      <c r="S163" s="7">
        <v>2</v>
      </c>
      <c r="T163" s="7">
        <v>19</v>
      </c>
      <c r="U163" s="7">
        <v>19</v>
      </c>
      <c r="V163" s="7">
        <v>8</v>
      </c>
      <c r="W163" s="7">
        <v>2</v>
      </c>
      <c r="X163" s="7">
        <v>15000</v>
      </c>
      <c r="Y163" s="7">
        <v>0</v>
      </c>
      <c r="Z163" s="7">
        <v>0</v>
      </c>
      <c r="AA163" s="7">
        <v>42.49</v>
      </c>
      <c r="AB163" s="7">
        <v>2782</v>
      </c>
      <c r="AC163" s="7">
        <v>60000</v>
      </c>
      <c r="AD163" s="7">
        <v>60000</v>
      </c>
      <c r="AE163" s="7">
        <v>55202.86</v>
      </c>
      <c r="AF163" s="7">
        <v>80</v>
      </c>
      <c r="AG163" s="7">
        <v>29</v>
      </c>
      <c r="AH163" s="12">
        <v>80</v>
      </c>
    </row>
    <row r="164" spans="1:34" ht="21" hidden="1" x14ac:dyDescent="0.25">
      <c r="A164" s="11">
        <v>20</v>
      </c>
      <c r="B164" s="8" t="s">
        <v>30</v>
      </c>
      <c r="C164" s="7">
        <v>1420</v>
      </c>
      <c r="D164" s="8" t="s">
        <v>84</v>
      </c>
      <c r="E164" s="8" t="s">
        <v>17</v>
      </c>
      <c r="F164" s="8" t="s">
        <v>12</v>
      </c>
      <c r="G164" s="7">
        <v>0</v>
      </c>
      <c r="H164" s="7">
        <v>0</v>
      </c>
      <c r="I164" s="7">
        <v>0</v>
      </c>
      <c r="J164" s="7">
        <v>269.01</v>
      </c>
      <c r="K164" s="7">
        <v>211.50659099999999</v>
      </c>
      <c r="L164" s="7">
        <v>0</v>
      </c>
      <c r="M164" s="7">
        <v>21.38</v>
      </c>
      <c r="N164" s="7">
        <v>1</v>
      </c>
      <c r="O164" s="7">
        <v>403253.01</v>
      </c>
      <c r="P164" s="7">
        <v>299537.48450800002</v>
      </c>
      <c r="Q164" s="7">
        <v>0</v>
      </c>
      <c r="R164" s="7">
        <v>25.72</v>
      </c>
      <c r="S164" s="7">
        <v>1</v>
      </c>
      <c r="T164" s="7">
        <v>19</v>
      </c>
      <c r="U164" s="7">
        <v>19</v>
      </c>
      <c r="V164" s="7">
        <v>6</v>
      </c>
      <c r="W164" s="7">
        <v>6</v>
      </c>
      <c r="X164" s="7">
        <v>0</v>
      </c>
      <c r="Y164" s="7">
        <v>1898.78</v>
      </c>
      <c r="Z164" s="7">
        <v>0</v>
      </c>
      <c r="AA164" s="7">
        <v>37.15</v>
      </c>
      <c r="AB164" s="7">
        <v>2782</v>
      </c>
      <c r="AC164" s="7">
        <v>331000</v>
      </c>
      <c r="AD164" s="7">
        <v>331000</v>
      </c>
      <c r="AE164" s="7">
        <v>124844.86</v>
      </c>
      <c r="AF164" s="7">
        <v>285</v>
      </c>
      <c r="AG164" s="7">
        <v>87</v>
      </c>
      <c r="AH164" s="12">
        <v>285</v>
      </c>
    </row>
    <row r="165" spans="1:34" ht="21" hidden="1" x14ac:dyDescent="0.25">
      <c r="A165" s="11">
        <v>17</v>
      </c>
      <c r="B165" s="8" t="s">
        <v>16</v>
      </c>
      <c r="C165" s="7">
        <v>1431</v>
      </c>
      <c r="D165" s="8" t="s">
        <v>49</v>
      </c>
      <c r="E165" s="8" t="s">
        <v>17</v>
      </c>
      <c r="F165" s="8" t="s">
        <v>12</v>
      </c>
      <c r="G165" s="7">
        <v>151000</v>
      </c>
      <c r="H165" s="7">
        <v>100</v>
      </c>
      <c r="I165" s="7">
        <v>100</v>
      </c>
      <c r="J165" s="7">
        <v>26371.29</v>
      </c>
      <c r="K165" s="7">
        <v>19027.174878000002</v>
      </c>
      <c r="L165" s="7">
        <v>0</v>
      </c>
      <c r="M165" s="7">
        <v>27.85</v>
      </c>
      <c r="N165" s="7">
        <v>28.31</v>
      </c>
      <c r="O165" s="7">
        <v>296737.34000000003</v>
      </c>
      <c r="P165" s="7">
        <v>207292.61917799999</v>
      </c>
      <c r="Q165" s="7">
        <v>0</v>
      </c>
      <c r="R165" s="7">
        <v>30.14</v>
      </c>
      <c r="S165" s="7">
        <v>11</v>
      </c>
      <c r="T165" s="7">
        <v>19</v>
      </c>
      <c r="U165" s="7">
        <v>19</v>
      </c>
      <c r="V165" s="7">
        <v>204</v>
      </c>
      <c r="W165" s="7">
        <v>17.13</v>
      </c>
      <c r="X165" s="7">
        <v>151000</v>
      </c>
      <c r="Y165" s="7">
        <v>0</v>
      </c>
      <c r="Z165" s="7">
        <v>0</v>
      </c>
      <c r="AA165" s="7">
        <v>23.4</v>
      </c>
      <c r="AB165" s="7">
        <v>2782</v>
      </c>
      <c r="AC165" s="7">
        <v>621000</v>
      </c>
      <c r="AD165" s="7">
        <v>621000</v>
      </c>
      <c r="AE165" s="7">
        <v>306617.2</v>
      </c>
      <c r="AF165" s="7">
        <v>340</v>
      </c>
      <c r="AG165" s="7">
        <v>138</v>
      </c>
      <c r="AH165" s="12">
        <v>340</v>
      </c>
    </row>
    <row r="166" spans="1:34" ht="21" hidden="1" x14ac:dyDescent="0.25">
      <c r="A166" s="11">
        <v>17</v>
      </c>
      <c r="B166" s="8" t="s">
        <v>16</v>
      </c>
      <c r="C166" s="7">
        <v>1437</v>
      </c>
      <c r="D166" s="8" t="s">
        <v>85</v>
      </c>
      <c r="E166" s="8" t="s">
        <v>17</v>
      </c>
      <c r="F166" s="8" t="s">
        <v>12</v>
      </c>
      <c r="G166" s="7">
        <v>95000</v>
      </c>
      <c r="H166" s="7">
        <v>54</v>
      </c>
      <c r="I166" s="7">
        <v>54</v>
      </c>
      <c r="J166" s="7">
        <v>41933.68</v>
      </c>
      <c r="K166" s="7">
        <v>29963.330179</v>
      </c>
      <c r="L166" s="7">
        <v>0</v>
      </c>
      <c r="M166" s="7">
        <v>28.55</v>
      </c>
      <c r="N166" s="7">
        <v>28.69</v>
      </c>
      <c r="O166" s="7">
        <v>296737.34000000003</v>
      </c>
      <c r="P166" s="7">
        <v>207292.61917799999</v>
      </c>
      <c r="Q166" s="7">
        <v>0</v>
      </c>
      <c r="R166" s="7">
        <v>30.14</v>
      </c>
      <c r="S166" s="7">
        <v>19</v>
      </c>
      <c r="T166" s="7">
        <v>19</v>
      </c>
      <c r="U166" s="7">
        <v>19</v>
      </c>
      <c r="V166" s="7">
        <v>245</v>
      </c>
      <c r="W166" s="7">
        <v>16.329999999999998</v>
      </c>
      <c r="X166" s="7">
        <v>95000</v>
      </c>
      <c r="Y166" s="7">
        <v>0</v>
      </c>
      <c r="Z166" s="7">
        <v>0</v>
      </c>
      <c r="AA166" s="7">
        <v>23.4</v>
      </c>
      <c r="AB166" s="7">
        <v>2782</v>
      </c>
      <c r="AC166" s="7">
        <v>621000</v>
      </c>
      <c r="AD166" s="7">
        <v>621000</v>
      </c>
      <c r="AE166" s="7">
        <v>306617.2</v>
      </c>
      <c r="AF166" s="7">
        <v>340</v>
      </c>
      <c r="AG166" s="7">
        <v>138</v>
      </c>
      <c r="AH166" s="12">
        <v>340</v>
      </c>
    </row>
    <row r="167" spans="1:34" ht="21" hidden="1" x14ac:dyDescent="0.25">
      <c r="A167" s="11">
        <v>10</v>
      </c>
      <c r="B167" s="8" t="s">
        <v>180</v>
      </c>
      <c r="C167" s="7">
        <v>1450</v>
      </c>
      <c r="D167" s="8" t="s">
        <v>86</v>
      </c>
      <c r="E167" s="8" t="s">
        <v>17</v>
      </c>
      <c r="F167" s="8" t="s">
        <v>12</v>
      </c>
      <c r="G167" s="7">
        <v>75000</v>
      </c>
      <c r="H167" s="7">
        <v>65</v>
      </c>
      <c r="I167" s="7">
        <v>65</v>
      </c>
      <c r="J167" s="7">
        <v>80857.95</v>
      </c>
      <c r="K167" s="7">
        <v>60572.388153</v>
      </c>
      <c r="L167" s="7">
        <v>0</v>
      </c>
      <c r="M167" s="7">
        <v>25.09</v>
      </c>
      <c r="N167" s="7">
        <v>21.67</v>
      </c>
      <c r="O167" s="7">
        <v>612464.30000000005</v>
      </c>
      <c r="P167" s="7">
        <v>455858.53905299999</v>
      </c>
      <c r="Q167" s="7">
        <v>0</v>
      </c>
      <c r="R167" s="7">
        <v>25.57</v>
      </c>
      <c r="S167" s="7">
        <v>70</v>
      </c>
      <c r="T167" s="7">
        <v>19</v>
      </c>
      <c r="U167" s="7">
        <v>19</v>
      </c>
      <c r="V167" s="7">
        <v>516</v>
      </c>
      <c r="W167" s="7">
        <v>18.600000000000001</v>
      </c>
      <c r="X167" s="7">
        <v>75000</v>
      </c>
      <c r="Y167" s="7">
        <v>528.65</v>
      </c>
      <c r="Z167" s="7">
        <v>2</v>
      </c>
      <c r="AA167" s="7">
        <v>21.15</v>
      </c>
      <c r="AB167" s="7">
        <v>2782</v>
      </c>
      <c r="AC167" s="7">
        <v>720000</v>
      </c>
      <c r="AD167" s="7">
        <v>720000</v>
      </c>
      <c r="AE167" s="7">
        <v>415422.74</v>
      </c>
      <c r="AF167" s="7">
        <v>525</v>
      </c>
      <c r="AG167" s="7">
        <v>429</v>
      </c>
      <c r="AH167" s="12">
        <v>525</v>
      </c>
    </row>
    <row r="168" spans="1:34" hidden="1" x14ac:dyDescent="0.25">
      <c r="A168" s="11">
        <v>2</v>
      </c>
      <c r="B168" s="8" t="s">
        <v>10</v>
      </c>
      <c r="C168" s="7">
        <v>1457</v>
      </c>
      <c r="D168" s="8" t="s">
        <v>42</v>
      </c>
      <c r="E168" s="8" t="s">
        <v>17</v>
      </c>
      <c r="F168" s="8" t="s">
        <v>12</v>
      </c>
      <c r="G168" s="7">
        <v>90000</v>
      </c>
      <c r="H168" s="7">
        <v>69</v>
      </c>
      <c r="I168" s="7">
        <v>69</v>
      </c>
      <c r="J168" s="7">
        <v>59423.26</v>
      </c>
      <c r="K168" s="7">
        <v>43449.086232000001</v>
      </c>
      <c r="L168" s="7">
        <v>0</v>
      </c>
      <c r="M168" s="7">
        <v>26.88</v>
      </c>
      <c r="N168" s="7">
        <v>26.31</v>
      </c>
      <c r="O168" s="7">
        <v>908207.64</v>
      </c>
      <c r="P168" s="7">
        <v>677234.64758200001</v>
      </c>
      <c r="Q168" s="7">
        <v>0</v>
      </c>
      <c r="R168" s="7">
        <v>25.43</v>
      </c>
      <c r="S168" s="7">
        <v>52</v>
      </c>
      <c r="T168" s="7">
        <v>19</v>
      </c>
      <c r="U168" s="7">
        <v>19</v>
      </c>
      <c r="V168" s="7">
        <v>343</v>
      </c>
      <c r="W168" s="7">
        <v>13.44</v>
      </c>
      <c r="X168" s="7">
        <v>90000</v>
      </c>
      <c r="Y168" s="7">
        <v>0</v>
      </c>
      <c r="Z168" s="7">
        <v>0</v>
      </c>
      <c r="AA168" s="7">
        <v>21.72</v>
      </c>
      <c r="AB168" s="7">
        <v>2782</v>
      </c>
      <c r="AC168" s="7">
        <v>1331000</v>
      </c>
      <c r="AD168" s="7">
        <v>1331000</v>
      </c>
      <c r="AE168" s="7">
        <v>1018464.25</v>
      </c>
      <c r="AF168" s="7">
        <v>845</v>
      </c>
      <c r="AG168" s="7">
        <v>634</v>
      </c>
      <c r="AH168" s="12">
        <v>845</v>
      </c>
    </row>
    <row r="169" spans="1:34" ht="21" hidden="1" x14ac:dyDescent="0.25">
      <c r="A169" s="11">
        <v>6</v>
      </c>
      <c r="B169" s="8" t="s">
        <v>142</v>
      </c>
      <c r="C169" s="7">
        <v>1466</v>
      </c>
      <c r="D169" s="8" t="s">
        <v>87</v>
      </c>
      <c r="E169" s="8" t="s">
        <v>17</v>
      </c>
      <c r="F169" s="8" t="s">
        <v>12</v>
      </c>
      <c r="G169" s="7">
        <v>95000</v>
      </c>
      <c r="H169" s="7">
        <v>78</v>
      </c>
      <c r="I169" s="7">
        <v>78</v>
      </c>
      <c r="J169" s="7">
        <v>60784.61</v>
      </c>
      <c r="K169" s="7">
        <v>45723.387492000002</v>
      </c>
      <c r="L169" s="7">
        <v>0</v>
      </c>
      <c r="M169" s="7">
        <v>24.78</v>
      </c>
      <c r="N169" s="7">
        <v>21.3</v>
      </c>
      <c r="O169" s="7">
        <v>353500.19</v>
      </c>
      <c r="P169" s="7">
        <v>263150.449012</v>
      </c>
      <c r="Q169" s="7">
        <v>0</v>
      </c>
      <c r="R169" s="7">
        <v>25.56</v>
      </c>
      <c r="S169" s="7">
        <v>51</v>
      </c>
      <c r="T169" s="7">
        <v>19</v>
      </c>
      <c r="U169" s="7">
        <v>19</v>
      </c>
      <c r="V169" s="7">
        <v>424</v>
      </c>
      <c r="W169" s="7">
        <v>12.74</v>
      </c>
      <c r="X169" s="7">
        <v>95000</v>
      </c>
      <c r="Y169" s="7">
        <v>1880.61</v>
      </c>
      <c r="Z169" s="7">
        <v>1</v>
      </c>
      <c r="AA169" s="7">
        <v>18.46</v>
      </c>
      <c r="AB169" s="7">
        <v>2782</v>
      </c>
      <c r="AC169" s="7">
        <v>1054000</v>
      </c>
      <c r="AD169" s="7">
        <v>1054000</v>
      </c>
      <c r="AE169" s="7">
        <v>562468.07999999996</v>
      </c>
      <c r="AF169" s="7">
        <v>923</v>
      </c>
      <c r="AG169" s="7">
        <v>588</v>
      </c>
      <c r="AH169" s="12">
        <v>923</v>
      </c>
    </row>
    <row r="170" spans="1:34" ht="21" hidden="1" x14ac:dyDescent="0.25">
      <c r="A170" s="11">
        <v>4</v>
      </c>
      <c r="B170" s="8" t="s">
        <v>15</v>
      </c>
      <c r="C170" s="7">
        <v>1473</v>
      </c>
      <c r="D170" s="8" t="s">
        <v>88</v>
      </c>
      <c r="E170" s="8" t="s">
        <v>17</v>
      </c>
      <c r="F170" s="8" t="s">
        <v>12</v>
      </c>
      <c r="G170" s="7">
        <v>120000</v>
      </c>
      <c r="H170" s="7">
        <v>80</v>
      </c>
      <c r="I170" s="7">
        <v>80</v>
      </c>
      <c r="J170" s="7">
        <v>110053.43</v>
      </c>
      <c r="K170" s="7">
        <v>80839.655329000001</v>
      </c>
      <c r="L170" s="7">
        <v>0</v>
      </c>
      <c r="M170" s="7">
        <v>26.55</v>
      </c>
      <c r="N170" s="7">
        <v>24.51</v>
      </c>
      <c r="O170" s="7">
        <v>513639.38</v>
      </c>
      <c r="P170" s="7">
        <v>369001.02627799998</v>
      </c>
      <c r="Q170" s="7">
        <v>0</v>
      </c>
      <c r="R170" s="7">
        <v>28.16</v>
      </c>
      <c r="S170" s="7">
        <v>58</v>
      </c>
      <c r="T170" s="7">
        <v>19</v>
      </c>
      <c r="U170" s="7">
        <v>19</v>
      </c>
      <c r="V170" s="7">
        <v>580</v>
      </c>
      <c r="W170" s="7">
        <v>14.81</v>
      </c>
      <c r="X170" s="7">
        <v>120000</v>
      </c>
      <c r="Y170" s="7">
        <v>1612.02</v>
      </c>
      <c r="Z170" s="7">
        <v>4</v>
      </c>
      <c r="AA170" s="7">
        <v>23.12</v>
      </c>
      <c r="AB170" s="7">
        <v>2782</v>
      </c>
      <c r="AC170" s="7">
        <v>760000</v>
      </c>
      <c r="AD170" s="7">
        <v>760000</v>
      </c>
      <c r="AE170" s="7">
        <v>534115.29</v>
      </c>
      <c r="AF170" s="7">
        <v>483</v>
      </c>
      <c r="AG170" s="7">
        <v>353</v>
      </c>
      <c r="AH170" s="12">
        <v>483</v>
      </c>
    </row>
    <row r="171" spans="1:34" ht="21" hidden="1" x14ac:dyDescent="0.25">
      <c r="A171" s="11">
        <v>17</v>
      </c>
      <c r="B171" s="8" t="s">
        <v>16</v>
      </c>
      <c r="C171" s="7">
        <v>1475</v>
      </c>
      <c r="D171" s="8" t="s">
        <v>82</v>
      </c>
      <c r="E171" s="8" t="s">
        <v>17</v>
      </c>
      <c r="F171" s="8" t="s">
        <v>12</v>
      </c>
      <c r="G171" s="7">
        <v>95000</v>
      </c>
      <c r="H171" s="7">
        <v>54</v>
      </c>
      <c r="I171" s="7">
        <v>54</v>
      </c>
      <c r="J171" s="7">
        <v>71747.66</v>
      </c>
      <c r="K171" s="7">
        <v>50039.583640999997</v>
      </c>
      <c r="L171" s="7">
        <v>0</v>
      </c>
      <c r="M171" s="7">
        <v>30.26</v>
      </c>
      <c r="N171" s="7">
        <v>21.1</v>
      </c>
      <c r="O171" s="7">
        <v>296737.34000000003</v>
      </c>
      <c r="P171" s="7">
        <v>207292.61917799999</v>
      </c>
      <c r="Q171" s="7">
        <v>0</v>
      </c>
      <c r="R171" s="7">
        <v>30.14</v>
      </c>
      <c r="S171" s="7">
        <v>32</v>
      </c>
      <c r="T171" s="7">
        <v>19</v>
      </c>
      <c r="U171" s="7">
        <v>19</v>
      </c>
      <c r="V171" s="7">
        <v>340</v>
      </c>
      <c r="W171" s="7">
        <v>16</v>
      </c>
      <c r="X171" s="7">
        <v>95000</v>
      </c>
      <c r="Y171" s="7">
        <v>0</v>
      </c>
      <c r="Z171" s="7">
        <v>0</v>
      </c>
      <c r="AA171" s="7">
        <v>23.4</v>
      </c>
      <c r="AB171" s="7">
        <v>2782</v>
      </c>
      <c r="AC171" s="7">
        <v>621000</v>
      </c>
      <c r="AD171" s="7">
        <v>621000</v>
      </c>
      <c r="AE171" s="7">
        <v>306617.2</v>
      </c>
      <c r="AF171" s="7">
        <v>340</v>
      </c>
      <c r="AG171" s="7">
        <v>138</v>
      </c>
      <c r="AH171" s="12">
        <v>340</v>
      </c>
    </row>
    <row r="172" spans="1:34" ht="21" hidden="1" x14ac:dyDescent="0.25">
      <c r="A172" s="11">
        <v>10</v>
      </c>
      <c r="B172" s="8" t="s">
        <v>180</v>
      </c>
      <c r="C172" s="7">
        <v>1486</v>
      </c>
      <c r="D172" s="8" t="s">
        <v>89</v>
      </c>
      <c r="E172" s="8" t="s">
        <v>17</v>
      </c>
      <c r="F172" s="8" t="s">
        <v>12</v>
      </c>
      <c r="G172" s="7">
        <v>45000</v>
      </c>
      <c r="H172" s="7">
        <v>25</v>
      </c>
      <c r="I172" s="7">
        <v>25</v>
      </c>
      <c r="J172" s="7">
        <v>42471.58</v>
      </c>
      <c r="K172" s="7">
        <v>31833.966487000002</v>
      </c>
      <c r="L172" s="7">
        <v>0</v>
      </c>
      <c r="M172" s="7">
        <v>25.05</v>
      </c>
      <c r="N172" s="7">
        <v>24.53</v>
      </c>
      <c r="O172" s="7">
        <v>612464.30000000005</v>
      </c>
      <c r="P172" s="7">
        <v>455858.53905299999</v>
      </c>
      <c r="Q172" s="7">
        <v>0</v>
      </c>
      <c r="R172" s="7">
        <v>25.57</v>
      </c>
      <c r="S172" s="7">
        <v>27</v>
      </c>
      <c r="T172" s="7">
        <v>19</v>
      </c>
      <c r="U172" s="7">
        <v>19</v>
      </c>
      <c r="V172" s="7">
        <v>285</v>
      </c>
      <c r="W172" s="7">
        <v>12.33</v>
      </c>
      <c r="X172" s="7">
        <v>45000</v>
      </c>
      <c r="Y172" s="7">
        <v>824.27</v>
      </c>
      <c r="Z172" s="7">
        <v>1</v>
      </c>
      <c r="AA172" s="7">
        <v>21.15</v>
      </c>
      <c r="AB172" s="7">
        <v>2782</v>
      </c>
      <c r="AC172" s="7">
        <v>720000</v>
      </c>
      <c r="AD172" s="7">
        <v>720000</v>
      </c>
      <c r="AE172" s="7">
        <v>415422.74</v>
      </c>
      <c r="AF172" s="7">
        <v>525</v>
      </c>
      <c r="AG172" s="7">
        <v>429</v>
      </c>
      <c r="AH172" s="12">
        <v>525</v>
      </c>
    </row>
    <row r="173" spans="1:34" ht="21" hidden="1" x14ac:dyDescent="0.25">
      <c r="A173" s="11">
        <v>20</v>
      </c>
      <c r="B173" s="8" t="s">
        <v>30</v>
      </c>
      <c r="C173" s="7">
        <v>1493</v>
      </c>
      <c r="D173" s="8" t="s">
        <v>90</v>
      </c>
      <c r="E173" s="8" t="s">
        <v>17</v>
      </c>
      <c r="F173" s="8" t="s">
        <v>12</v>
      </c>
      <c r="G173" s="7">
        <v>45000</v>
      </c>
      <c r="H173" s="7">
        <v>40</v>
      </c>
      <c r="I173" s="7">
        <v>40</v>
      </c>
      <c r="J173" s="7">
        <v>18262.259999999998</v>
      </c>
      <c r="K173" s="7">
        <v>14120.615551000001</v>
      </c>
      <c r="L173" s="7">
        <v>0</v>
      </c>
      <c r="M173" s="7">
        <v>22.68</v>
      </c>
      <c r="N173" s="7">
        <v>23.26</v>
      </c>
      <c r="O173" s="7">
        <v>403253.01</v>
      </c>
      <c r="P173" s="7">
        <v>299537.48450800002</v>
      </c>
      <c r="Q173" s="7">
        <v>0</v>
      </c>
      <c r="R173" s="7">
        <v>25.72</v>
      </c>
      <c r="S173" s="7">
        <v>14</v>
      </c>
      <c r="T173" s="7">
        <v>19</v>
      </c>
      <c r="U173" s="7">
        <v>19</v>
      </c>
      <c r="V173" s="7">
        <v>93</v>
      </c>
      <c r="W173" s="7">
        <v>7.12</v>
      </c>
      <c r="X173" s="7">
        <v>45000</v>
      </c>
      <c r="Y173" s="7">
        <v>0</v>
      </c>
      <c r="Z173" s="7">
        <v>0</v>
      </c>
      <c r="AA173" s="7">
        <v>37.15</v>
      </c>
      <c r="AB173" s="7">
        <v>2782</v>
      </c>
      <c r="AC173" s="7">
        <v>331000</v>
      </c>
      <c r="AD173" s="7">
        <v>331000</v>
      </c>
      <c r="AE173" s="7">
        <v>124844.86</v>
      </c>
      <c r="AF173" s="7">
        <v>285</v>
      </c>
      <c r="AG173" s="7">
        <v>87</v>
      </c>
      <c r="AH173" s="12">
        <v>285</v>
      </c>
    </row>
    <row r="174" spans="1:34" ht="21" hidden="1" x14ac:dyDescent="0.25">
      <c r="A174" s="11">
        <v>17</v>
      </c>
      <c r="B174" s="8" t="s">
        <v>16</v>
      </c>
      <c r="C174" s="7">
        <v>1497</v>
      </c>
      <c r="D174" s="8" t="s">
        <v>91</v>
      </c>
      <c r="E174" s="8" t="s">
        <v>17</v>
      </c>
      <c r="F174" s="8" t="s">
        <v>12</v>
      </c>
      <c r="G174" s="7">
        <v>85000</v>
      </c>
      <c r="H174" s="7">
        <v>36</v>
      </c>
      <c r="I174" s="7">
        <v>36</v>
      </c>
      <c r="J174" s="7">
        <v>50454.75</v>
      </c>
      <c r="K174" s="7">
        <v>35360.368962</v>
      </c>
      <c r="L174" s="7">
        <v>0</v>
      </c>
      <c r="M174" s="7">
        <v>29.92</v>
      </c>
      <c r="N174" s="7">
        <v>19.86</v>
      </c>
      <c r="O174" s="7">
        <v>296737.34000000003</v>
      </c>
      <c r="P174" s="7">
        <v>207292.61917799999</v>
      </c>
      <c r="Q174" s="7">
        <v>0</v>
      </c>
      <c r="R174" s="7">
        <v>30.14</v>
      </c>
      <c r="S174" s="7">
        <v>17</v>
      </c>
      <c r="T174" s="7">
        <v>19</v>
      </c>
      <c r="U174" s="7">
        <v>19</v>
      </c>
      <c r="V174" s="7">
        <v>431</v>
      </c>
      <c r="W174" s="7">
        <v>27.22</v>
      </c>
      <c r="X174" s="7">
        <v>85000</v>
      </c>
      <c r="Y174" s="7">
        <v>624.25</v>
      </c>
      <c r="Z174" s="7">
        <v>0</v>
      </c>
      <c r="AA174" s="7">
        <v>23.4</v>
      </c>
      <c r="AB174" s="7">
        <v>2782</v>
      </c>
      <c r="AC174" s="7">
        <v>621000</v>
      </c>
      <c r="AD174" s="7">
        <v>621000</v>
      </c>
      <c r="AE174" s="7">
        <v>306617.2</v>
      </c>
      <c r="AF174" s="7">
        <v>340</v>
      </c>
      <c r="AG174" s="7">
        <v>138</v>
      </c>
      <c r="AH174" s="12">
        <v>340</v>
      </c>
    </row>
    <row r="175" spans="1:34" ht="21" hidden="1" x14ac:dyDescent="0.25">
      <c r="A175" s="11">
        <v>10</v>
      </c>
      <c r="B175" s="8" t="s">
        <v>180</v>
      </c>
      <c r="C175" s="7">
        <v>1500</v>
      </c>
      <c r="D175" s="8" t="s">
        <v>92</v>
      </c>
      <c r="E175" s="8" t="s">
        <v>17</v>
      </c>
      <c r="F175" s="8" t="s">
        <v>12</v>
      </c>
      <c r="G175" s="7">
        <v>120000</v>
      </c>
      <c r="H175" s="7">
        <v>65</v>
      </c>
      <c r="I175" s="7">
        <v>65</v>
      </c>
      <c r="J175" s="7">
        <v>31929.360000000001</v>
      </c>
      <c r="K175" s="7">
        <v>23232.425191999999</v>
      </c>
      <c r="L175" s="7">
        <v>0</v>
      </c>
      <c r="M175" s="7">
        <v>27.24</v>
      </c>
      <c r="N175" s="7">
        <v>33.22</v>
      </c>
      <c r="O175" s="7">
        <v>612464.30000000005</v>
      </c>
      <c r="P175" s="7">
        <v>455858.53905299999</v>
      </c>
      <c r="Q175" s="7">
        <v>0</v>
      </c>
      <c r="R175" s="7">
        <v>25.57</v>
      </c>
      <c r="S175" s="7">
        <v>30</v>
      </c>
      <c r="T175" s="7">
        <v>19</v>
      </c>
      <c r="U175" s="7">
        <v>19</v>
      </c>
      <c r="V175" s="7">
        <v>162</v>
      </c>
      <c r="W175" s="7">
        <v>9.94</v>
      </c>
      <c r="X175" s="7">
        <v>120000</v>
      </c>
      <c r="Y175" s="7">
        <v>0</v>
      </c>
      <c r="Z175" s="7">
        <v>0</v>
      </c>
      <c r="AA175" s="7">
        <v>21.15</v>
      </c>
      <c r="AB175" s="7">
        <v>2782</v>
      </c>
      <c r="AC175" s="7">
        <v>720000</v>
      </c>
      <c r="AD175" s="7">
        <v>720000</v>
      </c>
      <c r="AE175" s="7">
        <v>415422.74</v>
      </c>
      <c r="AF175" s="7">
        <v>525</v>
      </c>
      <c r="AG175" s="7">
        <v>429</v>
      </c>
      <c r="AH175" s="12">
        <v>525</v>
      </c>
    </row>
    <row r="176" spans="1:34" hidden="1" x14ac:dyDescent="0.25">
      <c r="A176" s="11">
        <v>2</v>
      </c>
      <c r="B176" s="8" t="s">
        <v>10</v>
      </c>
      <c r="C176" s="7">
        <v>1505</v>
      </c>
      <c r="D176" s="8" t="s">
        <v>93</v>
      </c>
      <c r="E176" s="8" t="s">
        <v>17</v>
      </c>
      <c r="F176" s="8" t="s">
        <v>12</v>
      </c>
      <c r="G176" s="7">
        <v>80000</v>
      </c>
      <c r="H176" s="7">
        <v>50</v>
      </c>
      <c r="I176" s="7">
        <v>50</v>
      </c>
      <c r="J176" s="7">
        <v>70306.25</v>
      </c>
      <c r="K176" s="7">
        <v>51755.878188000002</v>
      </c>
      <c r="L176" s="7">
        <v>0</v>
      </c>
      <c r="M176" s="7">
        <v>26.39</v>
      </c>
      <c r="N176" s="7">
        <v>19.350000000000001</v>
      </c>
      <c r="O176" s="7">
        <v>908207.64</v>
      </c>
      <c r="P176" s="7">
        <v>677234.64758200001</v>
      </c>
      <c r="Q176" s="7">
        <v>0</v>
      </c>
      <c r="R176" s="7">
        <v>25.43</v>
      </c>
      <c r="S176" s="7">
        <v>49</v>
      </c>
      <c r="T176" s="7">
        <v>19</v>
      </c>
      <c r="U176" s="7">
        <v>19</v>
      </c>
      <c r="V176" s="7">
        <v>441</v>
      </c>
      <c r="W176" s="7">
        <v>15.48</v>
      </c>
      <c r="X176" s="7">
        <v>80000</v>
      </c>
      <c r="Y176" s="7">
        <v>34.08</v>
      </c>
      <c r="Z176" s="7">
        <v>1</v>
      </c>
      <c r="AA176" s="7">
        <v>21.72</v>
      </c>
      <c r="AB176" s="7">
        <v>2782</v>
      </c>
      <c r="AC176" s="7">
        <v>1331000</v>
      </c>
      <c r="AD176" s="7">
        <v>1331000</v>
      </c>
      <c r="AE176" s="7">
        <v>1018464.25</v>
      </c>
      <c r="AF176" s="7">
        <v>845</v>
      </c>
      <c r="AG176" s="7">
        <v>634</v>
      </c>
      <c r="AH176" s="12">
        <v>845</v>
      </c>
    </row>
    <row r="177" spans="1:34" ht="21" hidden="1" x14ac:dyDescent="0.25">
      <c r="A177" s="11">
        <v>4</v>
      </c>
      <c r="B177" s="8" t="s">
        <v>15</v>
      </c>
      <c r="C177" s="7">
        <v>1510</v>
      </c>
      <c r="D177" s="8" t="s">
        <v>121</v>
      </c>
      <c r="E177" s="8" t="s">
        <v>17</v>
      </c>
      <c r="F177" s="8" t="s">
        <v>12</v>
      </c>
      <c r="G177" s="7">
        <v>25000</v>
      </c>
      <c r="H177" s="7">
        <v>20</v>
      </c>
      <c r="I177" s="7">
        <v>20</v>
      </c>
      <c r="J177" s="7">
        <v>3500.12</v>
      </c>
      <c r="K177" s="7">
        <v>2349.6684260000002</v>
      </c>
      <c r="L177" s="7">
        <v>0</v>
      </c>
      <c r="M177" s="7">
        <v>32.869999999999997</v>
      </c>
      <c r="N177" s="7">
        <v>28.14</v>
      </c>
      <c r="O177" s="7">
        <v>513639.38</v>
      </c>
      <c r="P177" s="7">
        <v>369001.02627799998</v>
      </c>
      <c r="Q177" s="7">
        <v>0</v>
      </c>
      <c r="R177" s="7">
        <v>28.16</v>
      </c>
      <c r="S177" s="7">
        <v>4</v>
      </c>
      <c r="T177" s="7">
        <v>19</v>
      </c>
      <c r="U177" s="7">
        <v>19</v>
      </c>
      <c r="V177" s="7">
        <v>28</v>
      </c>
      <c r="W177" s="7">
        <v>7.75</v>
      </c>
      <c r="X177" s="7">
        <v>25000</v>
      </c>
      <c r="Y177" s="7">
        <v>0</v>
      </c>
      <c r="Z177" s="7">
        <v>0</v>
      </c>
      <c r="AA177" s="7">
        <v>23.12</v>
      </c>
      <c r="AB177" s="7">
        <v>2782</v>
      </c>
      <c r="AC177" s="7">
        <v>760000</v>
      </c>
      <c r="AD177" s="7">
        <v>760000</v>
      </c>
      <c r="AE177" s="7">
        <v>534115.29</v>
      </c>
      <c r="AF177" s="7">
        <v>483</v>
      </c>
      <c r="AG177" s="7">
        <v>353</v>
      </c>
      <c r="AH177" s="12">
        <v>483</v>
      </c>
    </row>
    <row r="178" spans="1:34" ht="21" hidden="1" x14ac:dyDescent="0.25">
      <c r="A178" s="11">
        <v>6</v>
      </c>
      <c r="B178" s="8" t="s">
        <v>142</v>
      </c>
      <c r="C178" s="7">
        <v>1512</v>
      </c>
      <c r="D178" s="8" t="s">
        <v>94</v>
      </c>
      <c r="E178" s="8" t="s">
        <v>17</v>
      </c>
      <c r="F178" s="8" t="s">
        <v>12</v>
      </c>
      <c r="G178" s="7">
        <v>69000</v>
      </c>
      <c r="H178" s="7">
        <v>69</v>
      </c>
      <c r="I178" s="7">
        <v>69</v>
      </c>
      <c r="J178" s="7">
        <v>6791.52</v>
      </c>
      <c r="K178" s="7">
        <v>4920.1727469999996</v>
      </c>
      <c r="L178" s="7">
        <v>0</v>
      </c>
      <c r="M178" s="7">
        <v>27.55</v>
      </c>
      <c r="N178" s="7">
        <v>15.31</v>
      </c>
      <c r="O178" s="7">
        <v>353500.19</v>
      </c>
      <c r="P178" s="7">
        <v>263150.449012</v>
      </c>
      <c r="Q178" s="7">
        <v>0</v>
      </c>
      <c r="R178" s="7">
        <v>25.56</v>
      </c>
      <c r="S178" s="7">
        <v>13</v>
      </c>
      <c r="T178" s="7">
        <v>19</v>
      </c>
      <c r="U178" s="7">
        <v>19</v>
      </c>
      <c r="V178" s="7">
        <v>106</v>
      </c>
      <c r="W178" s="7">
        <v>9.43</v>
      </c>
      <c r="X178" s="7">
        <v>69000</v>
      </c>
      <c r="Y178" s="7">
        <v>6.98</v>
      </c>
      <c r="Z178" s="7">
        <v>0</v>
      </c>
      <c r="AA178" s="7">
        <v>18.46</v>
      </c>
      <c r="AB178" s="7">
        <v>2782</v>
      </c>
      <c r="AC178" s="7">
        <v>1054000</v>
      </c>
      <c r="AD178" s="7">
        <v>1054000</v>
      </c>
      <c r="AE178" s="7">
        <v>562468.07999999996</v>
      </c>
      <c r="AF178" s="7">
        <v>923</v>
      </c>
      <c r="AG178" s="7">
        <v>588</v>
      </c>
      <c r="AH178" s="12">
        <v>923</v>
      </c>
    </row>
    <row r="179" spans="1:34" ht="21" hidden="1" x14ac:dyDescent="0.25">
      <c r="A179" s="11">
        <v>4</v>
      </c>
      <c r="B179" s="8" t="s">
        <v>15</v>
      </c>
      <c r="C179" s="7">
        <v>1522</v>
      </c>
      <c r="D179" s="8" t="s">
        <v>95</v>
      </c>
      <c r="E179" s="8" t="s">
        <v>17</v>
      </c>
      <c r="F179" s="8" t="s">
        <v>12</v>
      </c>
      <c r="G179" s="7">
        <v>50000</v>
      </c>
      <c r="H179" s="7">
        <v>1</v>
      </c>
      <c r="I179" s="7">
        <v>1</v>
      </c>
      <c r="J179" s="7">
        <v>29650.52</v>
      </c>
      <c r="K179" s="7">
        <v>21080.819094999999</v>
      </c>
      <c r="L179" s="7">
        <v>0</v>
      </c>
      <c r="M179" s="7">
        <v>28.9</v>
      </c>
      <c r="N179" s="7">
        <v>27.24</v>
      </c>
      <c r="O179" s="7">
        <v>513639.38</v>
      </c>
      <c r="P179" s="7">
        <v>369001.02627799998</v>
      </c>
      <c r="Q179" s="7">
        <v>0</v>
      </c>
      <c r="R179" s="7">
        <v>28.16</v>
      </c>
      <c r="S179" s="7">
        <v>1</v>
      </c>
      <c r="T179" s="7">
        <v>19</v>
      </c>
      <c r="U179" s="7">
        <v>19</v>
      </c>
      <c r="V179" s="7">
        <v>64</v>
      </c>
      <c r="W179" s="7">
        <v>22.33</v>
      </c>
      <c r="X179" s="7">
        <v>50000</v>
      </c>
      <c r="Y179" s="7">
        <v>0</v>
      </c>
      <c r="Z179" s="7">
        <v>0</v>
      </c>
      <c r="AA179" s="7">
        <v>23.12</v>
      </c>
      <c r="AB179" s="7">
        <v>2782</v>
      </c>
      <c r="AC179" s="7">
        <v>760000</v>
      </c>
      <c r="AD179" s="7">
        <v>760000</v>
      </c>
      <c r="AE179" s="7">
        <v>534115.29</v>
      </c>
      <c r="AF179" s="7">
        <v>483</v>
      </c>
      <c r="AG179" s="7">
        <v>353</v>
      </c>
      <c r="AH179" s="12">
        <v>483</v>
      </c>
    </row>
    <row r="180" spans="1:34" ht="21" hidden="1" x14ac:dyDescent="0.25">
      <c r="A180" s="11">
        <v>26</v>
      </c>
      <c r="B180" s="8" t="s">
        <v>13</v>
      </c>
      <c r="C180" s="7">
        <v>1527</v>
      </c>
      <c r="D180" s="8" t="s">
        <v>42</v>
      </c>
      <c r="E180" s="8" t="s">
        <v>17</v>
      </c>
      <c r="F180" s="8" t="s">
        <v>12</v>
      </c>
      <c r="G180" s="7">
        <v>46000</v>
      </c>
      <c r="H180" s="7">
        <v>40</v>
      </c>
      <c r="I180" s="7">
        <v>40</v>
      </c>
      <c r="J180" s="7">
        <v>45006.33</v>
      </c>
      <c r="K180" s="7">
        <v>32965.224108000002</v>
      </c>
      <c r="L180" s="7">
        <v>0</v>
      </c>
      <c r="M180" s="7">
        <v>26.75</v>
      </c>
      <c r="N180" s="7">
        <v>28.6</v>
      </c>
      <c r="O180" s="7">
        <v>511611.31</v>
      </c>
      <c r="P180" s="7">
        <v>387941.85510500002</v>
      </c>
      <c r="Q180" s="7">
        <v>0</v>
      </c>
      <c r="R180" s="7">
        <v>24.17</v>
      </c>
      <c r="S180" s="7">
        <v>26</v>
      </c>
      <c r="T180" s="7">
        <v>19</v>
      </c>
      <c r="U180" s="7">
        <v>19</v>
      </c>
      <c r="V180" s="7">
        <v>168</v>
      </c>
      <c r="W180" s="7">
        <v>6.1</v>
      </c>
      <c r="X180" s="7">
        <v>46000</v>
      </c>
      <c r="Y180" s="7">
        <v>5730.06</v>
      </c>
      <c r="Z180" s="7">
        <v>4</v>
      </c>
      <c r="AA180" s="7">
        <v>24.8</v>
      </c>
      <c r="AB180" s="7">
        <v>2782</v>
      </c>
      <c r="AC180" s="7">
        <v>838000</v>
      </c>
      <c r="AD180" s="7">
        <v>838000</v>
      </c>
      <c r="AE180" s="7">
        <v>583373.18000000005</v>
      </c>
      <c r="AF180" s="7">
        <v>621</v>
      </c>
      <c r="AG180" s="7">
        <v>453</v>
      </c>
      <c r="AH180" s="12">
        <v>621</v>
      </c>
    </row>
    <row r="181" spans="1:34" ht="21" hidden="1" x14ac:dyDescent="0.25">
      <c r="A181" s="11">
        <v>26</v>
      </c>
      <c r="B181" s="8" t="s">
        <v>13</v>
      </c>
      <c r="C181" s="7">
        <v>1535</v>
      </c>
      <c r="D181" s="8" t="s">
        <v>97</v>
      </c>
      <c r="E181" s="8" t="s">
        <v>17</v>
      </c>
      <c r="F181" s="8" t="s">
        <v>12</v>
      </c>
      <c r="G181" s="7">
        <v>46000</v>
      </c>
      <c r="H181" s="7">
        <v>40</v>
      </c>
      <c r="I181" s="7">
        <v>40</v>
      </c>
      <c r="J181" s="7">
        <v>18819.29</v>
      </c>
      <c r="K181" s="7">
        <v>13663.637906</v>
      </c>
      <c r="L181" s="7">
        <v>0</v>
      </c>
      <c r="M181" s="7">
        <v>27.4</v>
      </c>
      <c r="N181" s="7">
        <v>31.77</v>
      </c>
      <c r="O181" s="7">
        <v>511611.31</v>
      </c>
      <c r="P181" s="7">
        <v>387941.85510500002</v>
      </c>
      <c r="Q181" s="7">
        <v>0</v>
      </c>
      <c r="R181" s="7">
        <v>24.17</v>
      </c>
      <c r="S181" s="7">
        <v>20</v>
      </c>
      <c r="T181" s="7">
        <v>19</v>
      </c>
      <c r="U181" s="7">
        <v>19</v>
      </c>
      <c r="V181" s="7">
        <v>127</v>
      </c>
      <c r="W181" s="7">
        <v>6.61</v>
      </c>
      <c r="X181" s="7">
        <v>46000</v>
      </c>
      <c r="Y181" s="7">
        <v>4.53</v>
      </c>
      <c r="Z181" s="7">
        <v>1</v>
      </c>
      <c r="AA181" s="7">
        <v>24.8</v>
      </c>
      <c r="AB181" s="7">
        <v>2782</v>
      </c>
      <c r="AC181" s="7">
        <v>838000</v>
      </c>
      <c r="AD181" s="7">
        <v>838000</v>
      </c>
      <c r="AE181" s="7">
        <v>583373.18000000005</v>
      </c>
      <c r="AF181" s="7">
        <v>621</v>
      </c>
      <c r="AG181" s="7">
        <v>453</v>
      </c>
      <c r="AH181" s="12">
        <v>621</v>
      </c>
    </row>
    <row r="182" spans="1:34" ht="21" hidden="1" x14ac:dyDescent="0.25">
      <c r="A182" s="11">
        <v>20</v>
      </c>
      <c r="B182" s="8" t="s">
        <v>30</v>
      </c>
      <c r="C182" s="7">
        <v>1537</v>
      </c>
      <c r="D182" s="8" t="s">
        <v>42</v>
      </c>
      <c r="E182" s="8" t="s">
        <v>17</v>
      </c>
      <c r="F182" s="8" t="s">
        <v>12</v>
      </c>
      <c r="G182" s="7">
        <v>46000</v>
      </c>
      <c r="H182" s="7">
        <v>40</v>
      </c>
      <c r="I182" s="7">
        <v>40</v>
      </c>
      <c r="J182" s="7">
        <v>12201</v>
      </c>
      <c r="K182" s="7">
        <v>9090.160699</v>
      </c>
      <c r="L182" s="7">
        <v>0</v>
      </c>
      <c r="M182" s="7">
        <v>25.5</v>
      </c>
      <c r="N182" s="7">
        <v>30.96</v>
      </c>
      <c r="O182" s="7">
        <v>403253.01</v>
      </c>
      <c r="P182" s="7">
        <v>299537.48450800002</v>
      </c>
      <c r="Q182" s="7">
        <v>0</v>
      </c>
      <c r="R182" s="7">
        <v>25.72</v>
      </c>
      <c r="S182" s="7">
        <v>13</v>
      </c>
      <c r="T182" s="7">
        <v>19</v>
      </c>
      <c r="U182" s="7">
        <v>19</v>
      </c>
      <c r="V182" s="7">
        <v>73</v>
      </c>
      <c r="W182" s="7">
        <v>6.43</v>
      </c>
      <c r="X182" s="7">
        <v>46000</v>
      </c>
      <c r="Y182" s="7">
        <v>28.15</v>
      </c>
      <c r="Z182" s="7">
        <v>0</v>
      </c>
      <c r="AA182" s="7">
        <v>37.15</v>
      </c>
      <c r="AB182" s="7">
        <v>2782</v>
      </c>
      <c r="AC182" s="7">
        <v>331000</v>
      </c>
      <c r="AD182" s="7">
        <v>331000</v>
      </c>
      <c r="AE182" s="7">
        <v>124844.86</v>
      </c>
      <c r="AF182" s="7">
        <v>285</v>
      </c>
      <c r="AG182" s="7">
        <v>87</v>
      </c>
      <c r="AH182" s="12">
        <v>285</v>
      </c>
    </row>
    <row r="183" spans="1:34" hidden="1" x14ac:dyDescent="0.25">
      <c r="A183" s="11">
        <v>2</v>
      </c>
      <c r="B183" s="8" t="s">
        <v>10</v>
      </c>
      <c r="C183" s="7">
        <v>1553</v>
      </c>
      <c r="D183" s="8" t="s">
        <v>55</v>
      </c>
      <c r="E183" s="8" t="s">
        <v>17</v>
      </c>
      <c r="F183" s="8" t="s">
        <v>12</v>
      </c>
      <c r="G183" s="7">
        <v>46000</v>
      </c>
      <c r="H183" s="7">
        <v>40</v>
      </c>
      <c r="I183" s="7">
        <v>40</v>
      </c>
      <c r="J183" s="7">
        <v>62903.98</v>
      </c>
      <c r="K183" s="7">
        <v>46226.187784000002</v>
      </c>
      <c r="L183" s="7">
        <v>0</v>
      </c>
      <c r="M183" s="7">
        <v>26.51</v>
      </c>
      <c r="N183" s="7">
        <v>56.06</v>
      </c>
      <c r="O183" s="7">
        <v>908207.64</v>
      </c>
      <c r="P183" s="7">
        <v>677234.64758200001</v>
      </c>
      <c r="Q183" s="7">
        <v>0</v>
      </c>
      <c r="R183" s="7">
        <v>25.43</v>
      </c>
      <c r="S183" s="7">
        <v>18</v>
      </c>
      <c r="T183" s="7">
        <v>19</v>
      </c>
      <c r="U183" s="7">
        <v>19</v>
      </c>
      <c r="V183" s="7">
        <v>89</v>
      </c>
      <c r="W183" s="7">
        <v>6.17</v>
      </c>
      <c r="X183" s="7">
        <v>46000</v>
      </c>
      <c r="Y183" s="7">
        <v>101.7</v>
      </c>
      <c r="Z183" s="7">
        <v>0</v>
      </c>
      <c r="AA183" s="7">
        <v>21.72</v>
      </c>
      <c r="AB183" s="7">
        <v>2782</v>
      </c>
      <c r="AC183" s="7">
        <v>1331000</v>
      </c>
      <c r="AD183" s="7">
        <v>1331000</v>
      </c>
      <c r="AE183" s="7">
        <v>1018464.25</v>
      </c>
      <c r="AF183" s="7">
        <v>845</v>
      </c>
      <c r="AG183" s="7">
        <v>634</v>
      </c>
      <c r="AH183" s="12">
        <v>845</v>
      </c>
    </row>
    <row r="184" spans="1:34" ht="21" hidden="1" x14ac:dyDescent="0.25">
      <c r="A184" s="11">
        <v>4</v>
      </c>
      <c r="B184" s="8" t="s">
        <v>15</v>
      </c>
      <c r="C184" s="7">
        <v>1557</v>
      </c>
      <c r="D184" s="8" t="s">
        <v>100</v>
      </c>
      <c r="E184" s="8" t="s">
        <v>17</v>
      </c>
      <c r="F184" s="8" t="s">
        <v>12</v>
      </c>
      <c r="G184" s="7">
        <v>115000</v>
      </c>
      <c r="H184" s="7">
        <v>78</v>
      </c>
      <c r="I184" s="7">
        <v>78</v>
      </c>
      <c r="J184" s="7">
        <v>85825.3</v>
      </c>
      <c r="K184" s="7">
        <v>61980.076016999999</v>
      </c>
      <c r="L184" s="7">
        <v>0</v>
      </c>
      <c r="M184" s="7">
        <v>27.78</v>
      </c>
      <c r="N184" s="7">
        <v>22.67</v>
      </c>
      <c r="O184" s="7">
        <v>513639.38</v>
      </c>
      <c r="P184" s="7">
        <v>369001.02627799998</v>
      </c>
      <c r="Q184" s="7">
        <v>0</v>
      </c>
      <c r="R184" s="7">
        <v>28.16</v>
      </c>
      <c r="S184" s="7">
        <v>69</v>
      </c>
      <c r="T184" s="7">
        <v>19</v>
      </c>
      <c r="U184" s="7">
        <v>19</v>
      </c>
      <c r="V184" s="7">
        <v>424</v>
      </c>
      <c r="W184" s="7">
        <v>11.67</v>
      </c>
      <c r="X184" s="7">
        <v>115000</v>
      </c>
      <c r="Y184" s="7">
        <v>918.1</v>
      </c>
      <c r="Z184" s="7">
        <v>1</v>
      </c>
      <c r="AA184" s="7">
        <v>23.12</v>
      </c>
      <c r="AB184" s="7">
        <v>2782</v>
      </c>
      <c r="AC184" s="7">
        <v>760000</v>
      </c>
      <c r="AD184" s="7">
        <v>760000</v>
      </c>
      <c r="AE184" s="7">
        <v>534115.29</v>
      </c>
      <c r="AF184" s="7">
        <v>483</v>
      </c>
      <c r="AG184" s="7">
        <v>353</v>
      </c>
      <c r="AH184" s="12">
        <v>483</v>
      </c>
    </row>
    <row r="185" spans="1:34" ht="21" hidden="1" x14ac:dyDescent="0.25">
      <c r="A185" s="11">
        <v>4</v>
      </c>
      <c r="B185" s="8" t="s">
        <v>15</v>
      </c>
      <c r="C185" s="7">
        <v>1558</v>
      </c>
      <c r="D185" s="8" t="s">
        <v>101</v>
      </c>
      <c r="E185" s="8" t="s">
        <v>17</v>
      </c>
      <c r="F185" s="8" t="s">
        <v>12</v>
      </c>
      <c r="G185" s="7">
        <v>80000</v>
      </c>
      <c r="H185" s="7">
        <v>60</v>
      </c>
      <c r="I185" s="7">
        <v>60</v>
      </c>
      <c r="J185" s="7">
        <v>50057.37</v>
      </c>
      <c r="K185" s="7">
        <v>35702.053181000003</v>
      </c>
      <c r="L185" s="7">
        <v>0</v>
      </c>
      <c r="M185" s="7">
        <v>28.68</v>
      </c>
      <c r="N185" s="7">
        <v>22.56</v>
      </c>
      <c r="O185" s="7">
        <v>513639.38</v>
      </c>
      <c r="P185" s="7">
        <v>369001.02627799998</v>
      </c>
      <c r="Q185" s="7">
        <v>0</v>
      </c>
      <c r="R185" s="7">
        <v>28.16</v>
      </c>
      <c r="S185" s="7">
        <v>51</v>
      </c>
      <c r="T185" s="7">
        <v>19</v>
      </c>
      <c r="U185" s="7">
        <v>19</v>
      </c>
      <c r="V185" s="7">
        <v>275</v>
      </c>
      <c r="W185" s="7">
        <v>9.5500000000000007</v>
      </c>
      <c r="X185" s="7">
        <v>80000</v>
      </c>
      <c r="Y185" s="7">
        <v>0</v>
      </c>
      <c r="Z185" s="7">
        <v>1</v>
      </c>
      <c r="AA185" s="7">
        <v>23.12</v>
      </c>
      <c r="AB185" s="7">
        <v>2782</v>
      </c>
      <c r="AC185" s="7">
        <v>760000</v>
      </c>
      <c r="AD185" s="7">
        <v>760000</v>
      </c>
      <c r="AE185" s="7">
        <v>534115.29</v>
      </c>
      <c r="AF185" s="7">
        <v>483</v>
      </c>
      <c r="AG185" s="7">
        <v>353</v>
      </c>
      <c r="AH185" s="12">
        <v>483</v>
      </c>
    </row>
    <row r="186" spans="1:34" ht="21" hidden="1" x14ac:dyDescent="0.25">
      <c r="A186" s="11">
        <v>4</v>
      </c>
      <c r="B186" s="8" t="s">
        <v>15</v>
      </c>
      <c r="C186" s="7">
        <v>1559</v>
      </c>
      <c r="D186" s="8" t="s">
        <v>102</v>
      </c>
      <c r="E186" s="8" t="s">
        <v>17</v>
      </c>
      <c r="F186" s="8" t="s">
        <v>12</v>
      </c>
      <c r="G186" s="7">
        <v>60000</v>
      </c>
      <c r="H186" s="7">
        <v>40</v>
      </c>
      <c r="I186" s="7">
        <v>40</v>
      </c>
      <c r="J186" s="7">
        <v>26639.02</v>
      </c>
      <c r="K186" s="7">
        <v>19143.513266000002</v>
      </c>
      <c r="L186" s="7">
        <v>0</v>
      </c>
      <c r="M186" s="7">
        <v>28.14</v>
      </c>
      <c r="N186" s="7">
        <v>15.87</v>
      </c>
      <c r="O186" s="7">
        <v>513639.38</v>
      </c>
      <c r="P186" s="7">
        <v>369001.02627799998</v>
      </c>
      <c r="Q186" s="7">
        <v>0</v>
      </c>
      <c r="R186" s="7">
        <v>28.16</v>
      </c>
      <c r="S186" s="7">
        <v>28</v>
      </c>
      <c r="T186" s="7">
        <v>19</v>
      </c>
      <c r="U186" s="7">
        <v>19</v>
      </c>
      <c r="V186" s="7">
        <v>362</v>
      </c>
      <c r="W186" s="7">
        <v>11.41</v>
      </c>
      <c r="X186" s="7">
        <v>60000</v>
      </c>
      <c r="Y186" s="7">
        <v>0</v>
      </c>
      <c r="Z186" s="7">
        <v>0</v>
      </c>
      <c r="AA186" s="7">
        <v>23.12</v>
      </c>
      <c r="AB186" s="7">
        <v>2782</v>
      </c>
      <c r="AC186" s="7">
        <v>760000</v>
      </c>
      <c r="AD186" s="7">
        <v>760000</v>
      </c>
      <c r="AE186" s="7">
        <v>534115.29</v>
      </c>
      <c r="AF186" s="7">
        <v>483</v>
      </c>
      <c r="AG186" s="7">
        <v>353</v>
      </c>
      <c r="AH186" s="12">
        <v>483</v>
      </c>
    </row>
    <row r="187" spans="1:34" hidden="1" x14ac:dyDescent="0.25">
      <c r="A187" s="11">
        <v>2</v>
      </c>
      <c r="B187" s="8" t="s">
        <v>10</v>
      </c>
      <c r="C187" s="7">
        <v>1561</v>
      </c>
      <c r="D187" s="8" t="s">
        <v>103</v>
      </c>
      <c r="E187" s="8" t="s">
        <v>17</v>
      </c>
      <c r="F187" s="8" t="s">
        <v>12</v>
      </c>
      <c r="G187" s="7">
        <v>85000</v>
      </c>
      <c r="H187" s="7">
        <v>55</v>
      </c>
      <c r="I187" s="7">
        <v>55</v>
      </c>
      <c r="J187" s="7">
        <v>47352.63</v>
      </c>
      <c r="K187" s="7">
        <v>35661.480020000003</v>
      </c>
      <c r="L187" s="7">
        <v>0</v>
      </c>
      <c r="M187" s="7">
        <v>24.69</v>
      </c>
      <c r="N187" s="7">
        <v>20.41</v>
      </c>
      <c r="O187" s="7">
        <v>908207.64</v>
      </c>
      <c r="P187" s="7">
        <v>677234.64758200001</v>
      </c>
      <c r="Q187" s="7">
        <v>0</v>
      </c>
      <c r="R187" s="7">
        <v>25.43</v>
      </c>
      <c r="S187" s="7">
        <v>20</v>
      </c>
      <c r="T187" s="7">
        <v>19</v>
      </c>
      <c r="U187" s="7">
        <v>19</v>
      </c>
      <c r="V187" s="7">
        <v>469</v>
      </c>
      <c r="W187" s="7">
        <v>13.91</v>
      </c>
      <c r="X187" s="7">
        <v>85000</v>
      </c>
      <c r="Y187" s="7">
        <v>3896.31</v>
      </c>
      <c r="Z187" s="7">
        <v>0</v>
      </c>
      <c r="AA187" s="7">
        <v>21.72</v>
      </c>
      <c r="AB187" s="7">
        <v>2782</v>
      </c>
      <c r="AC187" s="7">
        <v>1331000</v>
      </c>
      <c r="AD187" s="7">
        <v>1331000</v>
      </c>
      <c r="AE187" s="7">
        <v>1018464.25</v>
      </c>
      <c r="AF187" s="7">
        <v>845</v>
      </c>
      <c r="AG187" s="7">
        <v>634</v>
      </c>
      <c r="AH187" s="12">
        <v>845</v>
      </c>
    </row>
    <row r="188" spans="1:34" ht="31.5" hidden="1" x14ac:dyDescent="0.25">
      <c r="A188" s="11">
        <v>14</v>
      </c>
      <c r="B188" s="8" t="s">
        <v>31</v>
      </c>
      <c r="C188" s="7">
        <v>1574</v>
      </c>
      <c r="D188" s="8" t="s">
        <v>107</v>
      </c>
      <c r="E188" s="8" t="s">
        <v>17</v>
      </c>
      <c r="F188" s="8" t="s">
        <v>12</v>
      </c>
      <c r="G188" s="7">
        <v>45000</v>
      </c>
      <c r="H188" s="7">
        <v>40</v>
      </c>
      <c r="I188" s="7">
        <v>40</v>
      </c>
      <c r="J188" s="7">
        <v>45480.09</v>
      </c>
      <c r="K188" s="7">
        <v>31671.842509999999</v>
      </c>
      <c r="L188" s="7">
        <v>0</v>
      </c>
      <c r="M188" s="7">
        <v>30.36</v>
      </c>
      <c r="N188" s="7">
        <v>42.71</v>
      </c>
      <c r="O188" s="7">
        <v>85558.63</v>
      </c>
      <c r="P188" s="7">
        <v>59907.004891999997</v>
      </c>
      <c r="Q188" s="7">
        <v>0</v>
      </c>
      <c r="R188" s="7">
        <v>29.98</v>
      </c>
      <c r="S188" s="7">
        <v>27</v>
      </c>
      <c r="T188" s="7">
        <v>19</v>
      </c>
      <c r="U188" s="7">
        <v>19</v>
      </c>
      <c r="V188" s="7">
        <v>189</v>
      </c>
      <c r="W188" s="7">
        <v>9.2200000000000006</v>
      </c>
      <c r="X188" s="7">
        <v>45000</v>
      </c>
      <c r="Y188" s="7">
        <v>0</v>
      </c>
      <c r="Z188" s="7">
        <v>0</v>
      </c>
      <c r="AA188" s="7">
        <v>42.49</v>
      </c>
      <c r="AB188" s="7">
        <v>2782</v>
      </c>
      <c r="AC188" s="7">
        <v>60000</v>
      </c>
      <c r="AD188" s="7">
        <v>60000</v>
      </c>
      <c r="AE188" s="7">
        <v>55202.86</v>
      </c>
      <c r="AF188" s="7">
        <v>80</v>
      </c>
      <c r="AG188" s="7">
        <v>29</v>
      </c>
      <c r="AH188" s="12">
        <v>80</v>
      </c>
    </row>
    <row r="189" spans="1:34" ht="21" hidden="1" x14ac:dyDescent="0.25">
      <c r="A189" s="11">
        <v>12</v>
      </c>
      <c r="B189" s="8" t="s">
        <v>14</v>
      </c>
      <c r="C189" s="7">
        <v>1577</v>
      </c>
      <c r="D189" s="8" t="s">
        <v>108</v>
      </c>
      <c r="E189" s="8" t="s">
        <v>17</v>
      </c>
      <c r="F189" s="8" t="s">
        <v>12</v>
      </c>
      <c r="G189" s="7">
        <v>51000</v>
      </c>
      <c r="H189" s="7">
        <v>60</v>
      </c>
      <c r="I189" s="7">
        <v>60</v>
      </c>
      <c r="J189" s="7">
        <v>12158.93</v>
      </c>
      <c r="K189" s="7">
        <v>9314.6939619999994</v>
      </c>
      <c r="L189" s="7">
        <v>0</v>
      </c>
      <c r="M189" s="7">
        <v>23.39</v>
      </c>
      <c r="N189" s="7">
        <v>13.33</v>
      </c>
      <c r="O189" s="7">
        <v>306647.53999999998</v>
      </c>
      <c r="P189" s="7">
        <v>231754.31285799999</v>
      </c>
      <c r="Q189" s="7">
        <v>0</v>
      </c>
      <c r="R189" s="7">
        <v>24.42</v>
      </c>
      <c r="S189" s="7">
        <v>33</v>
      </c>
      <c r="T189" s="7">
        <v>19</v>
      </c>
      <c r="U189" s="7">
        <v>19</v>
      </c>
      <c r="V189" s="7">
        <v>134</v>
      </c>
      <c r="W189" s="7">
        <v>6.74</v>
      </c>
      <c r="X189" s="7">
        <v>51000</v>
      </c>
      <c r="Y189" s="7">
        <v>159.43</v>
      </c>
      <c r="Z189" s="7">
        <v>1</v>
      </c>
      <c r="AA189" s="7">
        <v>27.94</v>
      </c>
      <c r="AB189" s="7">
        <v>2782</v>
      </c>
      <c r="AC189" s="7">
        <v>665000</v>
      </c>
      <c r="AD189" s="7">
        <v>665000</v>
      </c>
      <c r="AE189" s="7">
        <v>347546.87</v>
      </c>
      <c r="AF189" s="7">
        <v>750</v>
      </c>
      <c r="AG189" s="7">
        <v>439</v>
      </c>
      <c r="AH189" s="12">
        <v>750</v>
      </c>
    </row>
    <row r="190" spans="1:34" hidden="1" x14ac:dyDescent="0.25">
      <c r="A190" s="11">
        <v>2</v>
      </c>
      <c r="B190" s="8" t="s">
        <v>10</v>
      </c>
      <c r="C190" s="7">
        <v>1580</v>
      </c>
      <c r="D190" s="8" t="s">
        <v>109</v>
      </c>
      <c r="E190" s="8" t="s">
        <v>17</v>
      </c>
      <c r="F190" s="8" t="s">
        <v>12</v>
      </c>
      <c r="G190" s="7">
        <v>65000</v>
      </c>
      <c r="H190" s="7">
        <v>50</v>
      </c>
      <c r="I190" s="7">
        <v>50</v>
      </c>
      <c r="J190" s="7">
        <v>12773.9</v>
      </c>
      <c r="K190" s="7">
        <v>9356.7760940000007</v>
      </c>
      <c r="L190" s="7">
        <v>0</v>
      </c>
      <c r="M190" s="7">
        <v>26.75</v>
      </c>
      <c r="N190" s="7">
        <v>23.98</v>
      </c>
      <c r="O190" s="7">
        <v>908207.64</v>
      </c>
      <c r="P190" s="7">
        <v>677234.64758200001</v>
      </c>
      <c r="Q190" s="7">
        <v>0</v>
      </c>
      <c r="R190" s="7">
        <v>25.43</v>
      </c>
      <c r="S190" s="7">
        <v>13</v>
      </c>
      <c r="T190" s="7">
        <v>19</v>
      </c>
      <c r="U190" s="7">
        <v>19</v>
      </c>
      <c r="V190" s="7">
        <v>155</v>
      </c>
      <c r="W190" s="7">
        <v>14</v>
      </c>
      <c r="X190" s="7">
        <v>65000</v>
      </c>
      <c r="Y190" s="7">
        <v>522.17999999999995</v>
      </c>
      <c r="Z190" s="7">
        <v>0</v>
      </c>
      <c r="AA190" s="7">
        <v>21.72</v>
      </c>
      <c r="AB190" s="7">
        <v>2782</v>
      </c>
      <c r="AC190" s="7">
        <v>1331000</v>
      </c>
      <c r="AD190" s="7">
        <v>1331000</v>
      </c>
      <c r="AE190" s="7">
        <v>1018464.25</v>
      </c>
      <c r="AF190" s="7">
        <v>845</v>
      </c>
      <c r="AG190" s="7">
        <v>634</v>
      </c>
      <c r="AH190" s="12">
        <v>845</v>
      </c>
    </row>
    <row r="191" spans="1:34" ht="21" hidden="1" x14ac:dyDescent="0.25">
      <c r="A191" s="11">
        <v>12</v>
      </c>
      <c r="B191" s="8" t="s">
        <v>14</v>
      </c>
      <c r="C191" s="7">
        <v>1582</v>
      </c>
      <c r="D191" s="8" t="s">
        <v>111</v>
      </c>
      <c r="E191" s="8" t="s">
        <v>17</v>
      </c>
      <c r="F191" s="8" t="s">
        <v>12</v>
      </c>
      <c r="G191" s="7">
        <v>51000</v>
      </c>
      <c r="H191" s="7">
        <v>60</v>
      </c>
      <c r="I191" s="7">
        <v>60</v>
      </c>
      <c r="J191" s="7">
        <v>31640.33</v>
      </c>
      <c r="K191" s="7">
        <v>23864.533269</v>
      </c>
      <c r="L191" s="7">
        <v>0</v>
      </c>
      <c r="M191" s="7">
        <v>24.58</v>
      </c>
      <c r="N191" s="7">
        <v>18.989999999999998</v>
      </c>
      <c r="O191" s="7">
        <v>306647.53999999998</v>
      </c>
      <c r="P191" s="7">
        <v>231754.31285799999</v>
      </c>
      <c r="Q191" s="7">
        <v>0</v>
      </c>
      <c r="R191" s="7">
        <v>24.42</v>
      </c>
      <c r="S191" s="7">
        <v>36</v>
      </c>
      <c r="T191" s="7">
        <v>19</v>
      </c>
      <c r="U191" s="7">
        <v>19</v>
      </c>
      <c r="V191" s="7">
        <v>148</v>
      </c>
      <c r="W191" s="7">
        <v>8.6199999999999992</v>
      </c>
      <c r="X191" s="7">
        <v>51000</v>
      </c>
      <c r="Y191" s="7">
        <v>163.62</v>
      </c>
      <c r="Z191" s="7">
        <v>1</v>
      </c>
      <c r="AA191" s="7">
        <v>27.94</v>
      </c>
      <c r="AB191" s="7">
        <v>2782</v>
      </c>
      <c r="AC191" s="7">
        <v>665000</v>
      </c>
      <c r="AD191" s="7">
        <v>665000</v>
      </c>
      <c r="AE191" s="7">
        <v>347546.87</v>
      </c>
      <c r="AF191" s="7">
        <v>750</v>
      </c>
      <c r="AG191" s="7">
        <v>439</v>
      </c>
      <c r="AH191" s="12">
        <v>750</v>
      </c>
    </row>
    <row r="192" spans="1:34" ht="21" hidden="1" x14ac:dyDescent="0.25">
      <c r="A192" s="11">
        <v>4</v>
      </c>
      <c r="B192" s="8" t="s">
        <v>15</v>
      </c>
      <c r="C192" s="7">
        <v>1583</v>
      </c>
      <c r="D192" s="8" t="s">
        <v>112</v>
      </c>
      <c r="E192" s="8" t="s">
        <v>17</v>
      </c>
      <c r="F192" s="8" t="s">
        <v>12</v>
      </c>
      <c r="G192" s="7">
        <v>45000</v>
      </c>
      <c r="H192" s="7">
        <v>40</v>
      </c>
      <c r="I192" s="7">
        <v>40</v>
      </c>
      <c r="J192" s="7">
        <v>16975.79</v>
      </c>
      <c r="K192" s="7">
        <v>11922.676151</v>
      </c>
      <c r="L192" s="7">
        <v>0</v>
      </c>
      <c r="M192" s="7">
        <v>29.77</v>
      </c>
      <c r="N192" s="7">
        <v>34.020000000000003</v>
      </c>
      <c r="O192" s="7">
        <v>513639.38</v>
      </c>
      <c r="P192" s="7">
        <v>369001.02627799998</v>
      </c>
      <c r="Q192" s="7">
        <v>0</v>
      </c>
      <c r="R192" s="7">
        <v>28.16</v>
      </c>
      <c r="S192" s="7">
        <v>21</v>
      </c>
      <c r="T192" s="7">
        <v>19</v>
      </c>
      <c r="U192" s="7">
        <v>19</v>
      </c>
      <c r="V192" s="7">
        <v>126</v>
      </c>
      <c r="W192" s="7">
        <v>6</v>
      </c>
      <c r="X192" s="7">
        <v>45000</v>
      </c>
      <c r="Y192" s="7">
        <v>683.75</v>
      </c>
      <c r="Z192" s="7">
        <v>3</v>
      </c>
      <c r="AA192" s="7">
        <v>23.12</v>
      </c>
      <c r="AB192" s="7">
        <v>2782</v>
      </c>
      <c r="AC192" s="7">
        <v>760000</v>
      </c>
      <c r="AD192" s="7">
        <v>760000</v>
      </c>
      <c r="AE192" s="7">
        <v>534115.29</v>
      </c>
      <c r="AF192" s="7">
        <v>483</v>
      </c>
      <c r="AG192" s="7">
        <v>353</v>
      </c>
      <c r="AH192" s="12">
        <v>483</v>
      </c>
    </row>
    <row r="193" spans="1:34" ht="21" hidden="1" x14ac:dyDescent="0.25">
      <c r="A193" s="11">
        <v>6</v>
      </c>
      <c r="B193" s="8" t="s">
        <v>142</v>
      </c>
      <c r="C193" s="7">
        <v>1585</v>
      </c>
      <c r="D193" s="8" t="s">
        <v>90</v>
      </c>
      <c r="E193" s="8" t="s">
        <v>17</v>
      </c>
      <c r="F193" s="8" t="s">
        <v>12</v>
      </c>
      <c r="G193" s="7">
        <v>50000</v>
      </c>
      <c r="H193" s="7">
        <v>45</v>
      </c>
      <c r="I193" s="7">
        <v>45</v>
      </c>
      <c r="J193" s="7">
        <v>19919.66</v>
      </c>
      <c r="K193" s="7">
        <v>14496.973371</v>
      </c>
      <c r="L193" s="7">
        <v>0</v>
      </c>
      <c r="M193" s="7">
        <v>27.22</v>
      </c>
      <c r="N193" s="7">
        <v>17.18</v>
      </c>
      <c r="O193" s="7">
        <v>353500.19</v>
      </c>
      <c r="P193" s="7">
        <v>263150.449012</v>
      </c>
      <c r="Q193" s="7">
        <v>0</v>
      </c>
      <c r="R193" s="7">
        <v>25.56</v>
      </c>
      <c r="S193" s="7">
        <v>29</v>
      </c>
      <c r="T193" s="7">
        <v>19</v>
      </c>
      <c r="U193" s="7">
        <v>19</v>
      </c>
      <c r="V193" s="7">
        <v>216</v>
      </c>
      <c r="W193" s="7">
        <v>9.0299999999999994</v>
      </c>
      <c r="X193" s="7">
        <v>50000</v>
      </c>
      <c r="Y193" s="7">
        <v>411.83</v>
      </c>
      <c r="Z193" s="7">
        <v>1</v>
      </c>
      <c r="AA193" s="7">
        <v>18.46</v>
      </c>
      <c r="AB193" s="7">
        <v>2782</v>
      </c>
      <c r="AC193" s="7">
        <v>1054000</v>
      </c>
      <c r="AD193" s="7">
        <v>1054000</v>
      </c>
      <c r="AE193" s="7">
        <v>562468.07999999996</v>
      </c>
      <c r="AF193" s="7">
        <v>923</v>
      </c>
      <c r="AG193" s="7">
        <v>588</v>
      </c>
      <c r="AH193" s="12">
        <v>923</v>
      </c>
    </row>
    <row r="194" spans="1:34" ht="21" hidden="1" x14ac:dyDescent="0.25">
      <c r="A194" s="11">
        <v>12</v>
      </c>
      <c r="B194" s="8" t="s">
        <v>14</v>
      </c>
      <c r="C194" s="7">
        <v>1586</v>
      </c>
      <c r="D194" s="8" t="s">
        <v>55</v>
      </c>
      <c r="E194" s="8" t="s">
        <v>17</v>
      </c>
      <c r="F194" s="8" t="s">
        <v>12</v>
      </c>
      <c r="G194" s="7">
        <v>51000</v>
      </c>
      <c r="H194" s="7">
        <v>60</v>
      </c>
      <c r="I194" s="7">
        <v>60</v>
      </c>
      <c r="J194" s="7">
        <v>41010.230000000003</v>
      </c>
      <c r="K194" s="7">
        <v>30856.261254000001</v>
      </c>
      <c r="L194" s="7">
        <v>0</v>
      </c>
      <c r="M194" s="7">
        <v>24.76</v>
      </c>
      <c r="N194" s="7">
        <v>13.96</v>
      </c>
      <c r="O194" s="7">
        <v>306647.53999999998</v>
      </c>
      <c r="P194" s="7">
        <v>231754.31285799999</v>
      </c>
      <c r="Q194" s="7">
        <v>0</v>
      </c>
      <c r="R194" s="7">
        <v>24.42</v>
      </c>
      <c r="S194" s="7">
        <v>47</v>
      </c>
      <c r="T194" s="7">
        <v>19</v>
      </c>
      <c r="U194" s="7">
        <v>19</v>
      </c>
      <c r="V194" s="7">
        <v>212</v>
      </c>
      <c r="W194" s="7">
        <v>9.43</v>
      </c>
      <c r="X194" s="7">
        <v>51000</v>
      </c>
      <c r="Y194" s="7">
        <v>1089.3800000000001</v>
      </c>
      <c r="Z194" s="7">
        <v>0</v>
      </c>
      <c r="AA194" s="7">
        <v>27.94</v>
      </c>
      <c r="AB194" s="7">
        <v>2782</v>
      </c>
      <c r="AC194" s="7">
        <v>665000</v>
      </c>
      <c r="AD194" s="7">
        <v>665000</v>
      </c>
      <c r="AE194" s="7">
        <v>347546.87</v>
      </c>
      <c r="AF194" s="7">
        <v>750</v>
      </c>
      <c r="AG194" s="7">
        <v>439</v>
      </c>
      <c r="AH194" s="12">
        <v>750</v>
      </c>
    </row>
    <row r="195" spans="1:34" ht="21" hidden="1" x14ac:dyDescent="0.25">
      <c r="A195" s="11">
        <v>6</v>
      </c>
      <c r="B195" s="8" t="s">
        <v>142</v>
      </c>
      <c r="C195" s="7">
        <v>1587</v>
      </c>
      <c r="D195" s="8" t="s">
        <v>58</v>
      </c>
      <c r="E195" s="8" t="s">
        <v>17</v>
      </c>
      <c r="F195" s="8" t="s">
        <v>12</v>
      </c>
      <c r="G195" s="7">
        <v>50000</v>
      </c>
      <c r="H195" s="7">
        <v>50</v>
      </c>
      <c r="I195" s="7">
        <v>50</v>
      </c>
      <c r="J195" s="7">
        <v>18250.919999999998</v>
      </c>
      <c r="K195" s="7">
        <v>13725.371149000001</v>
      </c>
      <c r="L195" s="7">
        <v>0</v>
      </c>
      <c r="M195" s="7">
        <v>24.8</v>
      </c>
      <c r="N195" s="7">
        <v>16.329999999999998</v>
      </c>
      <c r="O195" s="7">
        <v>353500.19</v>
      </c>
      <c r="P195" s="7">
        <v>263150.449012</v>
      </c>
      <c r="Q195" s="7">
        <v>0</v>
      </c>
      <c r="R195" s="7">
        <v>25.56</v>
      </c>
      <c r="S195" s="7">
        <v>36</v>
      </c>
      <c r="T195" s="7">
        <v>19</v>
      </c>
      <c r="U195" s="7">
        <v>19</v>
      </c>
      <c r="V195" s="7">
        <v>193</v>
      </c>
      <c r="W195" s="7">
        <v>7.62</v>
      </c>
      <c r="X195" s="7">
        <v>50000</v>
      </c>
      <c r="Y195" s="7">
        <v>0</v>
      </c>
      <c r="Z195" s="7">
        <v>0</v>
      </c>
      <c r="AA195" s="7">
        <v>18.46</v>
      </c>
      <c r="AB195" s="7">
        <v>2782</v>
      </c>
      <c r="AC195" s="7">
        <v>1054000</v>
      </c>
      <c r="AD195" s="7">
        <v>1054000</v>
      </c>
      <c r="AE195" s="7">
        <v>562468.07999999996</v>
      </c>
      <c r="AF195" s="7">
        <v>923</v>
      </c>
      <c r="AG195" s="7">
        <v>588</v>
      </c>
      <c r="AH195" s="12">
        <v>923</v>
      </c>
    </row>
    <row r="196" spans="1:34" ht="21" hidden="1" x14ac:dyDescent="0.25">
      <c r="A196" s="11">
        <v>10</v>
      </c>
      <c r="B196" s="8" t="s">
        <v>180</v>
      </c>
      <c r="C196" s="7">
        <v>1589</v>
      </c>
      <c r="D196" s="8" t="s">
        <v>114</v>
      </c>
      <c r="E196" s="8" t="s">
        <v>17</v>
      </c>
      <c r="F196" s="8" t="s">
        <v>12</v>
      </c>
      <c r="G196" s="7">
        <v>45000</v>
      </c>
      <c r="H196" s="7">
        <v>40</v>
      </c>
      <c r="I196" s="7">
        <v>40</v>
      </c>
      <c r="J196" s="7">
        <v>11375.93</v>
      </c>
      <c r="K196" s="7">
        <v>8102.9844290000001</v>
      </c>
      <c r="L196" s="7">
        <v>0</v>
      </c>
      <c r="M196" s="7">
        <v>28.77</v>
      </c>
      <c r="N196" s="7">
        <v>34.99</v>
      </c>
      <c r="O196" s="7">
        <v>612464.30000000005</v>
      </c>
      <c r="P196" s="7">
        <v>455858.53905299999</v>
      </c>
      <c r="Q196" s="7">
        <v>0</v>
      </c>
      <c r="R196" s="7">
        <v>25.57</v>
      </c>
      <c r="S196" s="7">
        <v>17</v>
      </c>
      <c r="T196" s="7">
        <v>19</v>
      </c>
      <c r="U196" s="7">
        <v>19</v>
      </c>
      <c r="V196" s="7">
        <v>142</v>
      </c>
      <c r="W196" s="7">
        <v>9.5</v>
      </c>
      <c r="X196" s="7">
        <v>45000</v>
      </c>
      <c r="Y196" s="7">
        <v>377.72</v>
      </c>
      <c r="Z196" s="7">
        <v>0</v>
      </c>
      <c r="AA196" s="7">
        <v>21.15</v>
      </c>
      <c r="AB196" s="7">
        <v>2782</v>
      </c>
      <c r="AC196" s="7">
        <v>720000</v>
      </c>
      <c r="AD196" s="7">
        <v>720000</v>
      </c>
      <c r="AE196" s="7">
        <v>415422.74</v>
      </c>
      <c r="AF196" s="7">
        <v>525</v>
      </c>
      <c r="AG196" s="7">
        <v>429</v>
      </c>
      <c r="AH196" s="12">
        <v>525</v>
      </c>
    </row>
    <row r="197" spans="1:34" ht="21" hidden="1" x14ac:dyDescent="0.25">
      <c r="A197" s="11">
        <v>20</v>
      </c>
      <c r="B197" s="8" t="s">
        <v>30</v>
      </c>
      <c r="C197" s="7">
        <v>1590</v>
      </c>
      <c r="D197" s="8" t="s">
        <v>82</v>
      </c>
      <c r="E197" s="8" t="s">
        <v>17</v>
      </c>
      <c r="F197" s="8" t="s">
        <v>12</v>
      </c>
      <c r="G197" s="7">
        <v>45000</v>
      </c>
      <c r="H197" s="7">
        <v>40</v>
      </c>
      <c r="I197" s="7">
        <v>40</v>
      </c>
      <c r="J197" s="7">
        <v>22752.65</v>
      </c>
      <c r="K197" s="7">
        <v>16569.534725000001</v>
      </c>
      <c r="L197" s="7">
        <v>0</v>
      </c>
      <c r="M197" s="7">
        <v>27.18</v>
      </c>
      <c r="N197" s="7">
        <v>43.88</v>
      </c>
      <c r="O197" s="7">
        <v>403253.01</v>
      </c>
      <c r="P197" s="7">
        <v>299537.48450800002</v>
      </c>
      <c r="Q197" s="7">
        <v>0</v>
      </c>
      <c r="R197" s="7">
        <v>25.72</v>
      </c>
      <c r="S197" s="7">
        <v>13</v>
      </c>
      <c r="T197" s="7">
        <v>19</v>
      </c>
      <c r="U197" s="7">
        <v>19</v>
      </c>
      <c r="V197" s="7">
        <v>96</v>
      </c>
      <c r="W197" s="7">
        <v>6.65</v>
      </c>
      <c r="X197" s="7">
        <v>45000</v>
      </c>
      <c r="Y197" s="7">
        <v>242.1</v>
      </c>
      <c r="Z197" s="7">
        <v>5</v>
      </c>
      <c r="AA197" s="7">
        <v>37.15</v>
      </c>
      <c r="AB197" s="7">
        <v>2782</v>
      </c>
      <c r="AC197" s="7">
        <v>331000</v>
      </c>
      <c r="AD197" s="7">
        <v>331000</v>
      </c>
      <c r="AE197" s="7">
        <v>124844.86</v>
      </c>
      <c r="AF197" s="7">
        <v>285</v>
      </c>
      <c r="AG197" s="7">
        <v>87</v>
      </c>
      <c r="AH197" s="12">
        <v>285</v>
      </c>
    </row>
    <row r="198" spans="1:34" ht="21" hidden="1" x14ac:dyDescent="0.25">
      <c r="A198" s="11">
        <v>10</v>
      </c>
      <c r="B198" s="8" t="s">
        <v>180</v>
      </c>
      <c r="C198" s="7">
        <v>1591</v>
      </c>
      <c r="D198" s="8" t="s">
        <v>115</v>
      </c>
      <c r="E198" s="8" t="s">
        <v>17</v>
      </c>
      <c r="F198" s="8" t="s">
        <v>12</v>
      </c>
      <c r="G198" s="7">
        <v>65000</v>
      </c>
      <c r="H198" s="7">
        <v>50</v>
      </c>
      <c r="I198" s="7">
        <v>50</v>
      </c>
      <c r="J198" s="7">
        <v>40721.620000000003</v>
      </c>
      <c r="K198" s="7">
        <v>30242.711144000001</v>
      </c>
      <c r="L198" s="7">
        <v>0</v>
      </c>
      <c r="M198" s="7">
        <v>25.73</v>
      </c>
      <c r="N198" s="7">
        <v>18.59</v>
      </c>
      <c r="O198" s="7">
        <v>612464.30000000005</v>
      </c>
      <c r="P198" s="7">
        <v>455858.53905299999</v>
      </c>
      <c r="Q198" s="7">
        <v>0</v>
      </c>
      <c r="R198" s="7">
        <v>25.57</v>
      </c>
      <c r="S198" s="7">
        <v>57</v>
      </c>
      <c r="T198" s="7">
        <v>19</v>
      </c>
      <c r="U198" s="7">
        <v>19</v>
      </c>
      <c r="V198" s="7">
        <v>316</v>
      </c>
      <c r="W198" s="7">
        <v>10.84</v>
      </c>
      <c r="X198" s="7">
        <v>65000</v>
      </c>
      <c r="Y198" s="7">
        <v>257.20999999999998</v>
      </c>
      <c r="Z198" s="7">
        <v>2</v>
      </c>
      <c r="AA198" s="7">
        <v>21.15</v>
      </c>
      <c r="AB198" s="7">
        <v>2782</v>
      </c>
      <c r="AC198" s="7">
        <v>720000</v>
      </c>
      <c r="AD198" s="7">
        <v>720000</v>
      </c>
      <c r="AE198" s="7">
        <v>415422.74</v>
      </c>
      <c r="AF198" s="7">
        <v>525</v>
      </c>
      <c r="AG198" s="7">
        <v>429</v>
      </c>
      <c r="AH198" s="12">
        <v>525</v>
      </c>
    </row>
    <row r="199" spans="1:34" ht="21" hidden="1" x14ac:dyDescent="0.25">
      <c r="A199" s="11">
        <v>5</v>
      </c>
      <c r="B199" s="8" t="s">
        <v>143</v>
      </c>
      <c r="C199" s="7">
        <v>1593</v>
      </c>
      <c r="D199" s="8" t="s">
        <v>122</v>
      </c>
      <c r="E199" s="8" t="s">
        <v>17</v>
      </c>
      <c r="F199" s="8" t="s">
        <v>12</v>
      </c>
      <c r="G199" s="7">
        <v>120000</v>
      </c>
      <c r="H199" s="7">
        <v>50</v>
      </c>
      <c r="I199" s="7">
        <v>50</v>
      </c>
      <c r="J199" s="7">
        <v>37797.480000000003</v>
      </c>
      <c r="K199" s="7">
        <v>27395.012382000001</v>
      </c>
      <c r="L199" s="7">
        <v>0</v>
      </c>
      <c r="M199" s="7">
        <v>27.52</v>
      </c>
      <c r="N199" s="7">
        <v>34.18</v>
      </c>
      <c r="O199" s="7">
        <v>256363.87</v>
      </c>
      <c r="P199" s="7">
        <v>192405.98953799999</v>
      </c>
      <c r="Q199" s="7">
        <v>0</v>
      </c>
      <c r="R199" s="7">
        <v>24.95</v>
      </c>
      <c r="S199" s="7">
        <v>33</v>
      </c>
      <c r="T199" s="7">
        <v>19</v>
      </c>
      <c r="U199" s="7">
        <v>19</v>
      </c>
      <c r="V199" s="7">
        <v>231</v>
      </c>
      <c r="W199" s="7">
        <v>9.9</v>
      </c>
      <c r="X199" s="7">
        <v>120000</v>
      </c>
      <c r="Y199" s="7">
        <v>0</v>
      </c>
      <c r="Z199" s="7">
        <v>0</v>
      </c>
      <c r="AA199" s="7">
        <v>21.71</v>
      </c>
      <c r="AB199" s="7">
        <v>2782</v>
      </c>
      <c r="AC199" s="7">
        <v>450000</v>
      </c>
      <c r="AD199" s="7">
        <v>450000</v>
      </c>
      <c r="AE199" s="7">
        <v>215464.54</v>
      </c>
      <c r="AF199" s="7">
        <v>200</v>
      </c>
      <c r="AG199" s="7">
        <v>116</v>
      </c>
      <c r="AH199" s="12">
        <v>200</v>
      </c>
    </row>
    <row r="200" spans="1:34" ht="21" hidden="1" x14ac:dyDescent="0.25">
      <c r="A200" s="11">
        <v>12</v>
      </c>
      <c r="B200" s="8" t="s">
        <v>14</v>
      </c>
      <c r="C200" s="7">
        <v>1594</v>
      </c>
      <c r="D200" s="8" t="s">
        <v>123</v>
      </c>
      <c r="E200" s="8" t="s">
        <v>17</v>
      </c>
      <c r="F200" s="8" t="s">
        <v>12</v>
      </c>
      <c r="G200" s="7">
        <v>50000</v>
      </c>
      <c r="H200" s="7">
        <v>60</v>
      </c>
      <c r="I200" s="7">
        <v>60</v>
      </c>
      <c r="J200" s="7">
        <v>25245.13</v>
      </c>
      <c r="K200" s="7">
        <v>18623.625614</v>
      </c>
      <c r="L200" s="7">
        <v>0</v>
      </c>
      <c r="M200" s="7">
        <v>26.23</v>
      </c>
      <c r="N200" s="7">
        <v>15.06</v>
      </c>
      <c r="O200" s="7">
        <v>306647.53999999998</v>
      </c>
      <c r="P200" s="7">
        <v>231754.31285799999</v>
      </c>
      <c r="Q200" s="7">
        <v>0</v>
      </c>
      <c r="R200" s="7">
        <v>24.42</v>
      </c>
      <c r="S200" s="7">
        <v>31</v>
      </c>
      <c r="T200" s="7">
        <v>19</v>
      </c>
      <c r="U200" s="7">
        <v>19</v>
      </c>
      <c r="V200" s="7">
        <v>232</v>
      </c>
      <c r="W200" s="7">
        <v>9.5299999999999994</v>
      </c>
      <c r="X200" s="7">
        <v>50000</v>
      </c>
      <c r="Y200" s="7">
        <v>880.84</v>
      </c>
      <c r="Z200" s="7">
        <v>3</v>
      </c>
      <c r="AA200" s="7">
        <v>27.94</v>
      </c>
      <c r="AB200" s="7">
        <v>2782</v>
      </c>
      <c r="AC200" s="7">
        <v>665000</v>
      </c>
      <c r="AD200" s="7">
        <v>665000</v>
      </c>
      <c r="AE200" s="7">
        <v>347546.87</v>
      </c>
      <c r="AF200" s="7">
        <v>750</v>
      </c>
      <c r="AG200" s="7">
        <v>439</v>
      </c>
      <c r="AH200" s="12">
        <v>750</v>
      </c>
    </row>
    <row r="201" spans="1:34" ht="21" hidden="1" x14ac:dyDescent="0.25">
      <c r="A201" s="11">
        <v>17</v>
      </c>
      <c r="B201" s="8" t="s">
        <v>16</v>
      </c>
      <c r="C201" s="7">
        <v>1596</v>
      </c>
      <c r="D201" s="8" t="s">
        <v>124</v>
      </c>
      <c r="E201" s="8" t="s">
        <v>17</v>
      </c>
      <c r="F201" s="8" t="s">
        <v>12</v>
      </c>
      <c r="G201" s="7">
        <v>25000</v>
      </c>
      <c r="H201" s="7">
        <v>20</v>
      </c>
      <c r="I201" s="7">
        <v>20</v>
      </c>
      <c r="J201" s="7">
        <v>4434.0600000000004</v>
      </c>
      <c r="K201" s="7">
        <v>2973.2401089999998</v>
      </c>
      <c r="L201" s="7">
        <v>0</v>
      </c>
      <c r="M201" s="7">
        <v>32.950000000000003</v>
      </c>
      <c r="N201" s="7">
        <v>36.229999999999997</v>
      </c>
      <c r="O201" s="7">
        <v>296737.34000000003</v>
      </c>
      <c r="P201" s="7">
        <v>207292.61917799999</v>
      </c>
      <c r="Q201" s="7">
        <v>0</v>
      </c>
      <c r="R201" s="7">
        <v>30.14</v>
      </c>
      <c r="S201" s="7">
        <v>6</v>
      </c>
      <c r="T201" s="7">
        <v>19</v>
      </c>
      <c r="U201" s="7">
        <v>19</v>
      </c>
      <c r="V201" s="7">
        <v>39</v>
      </c>
      <c r="W201" s="7">
        <v>7</v>
      </c>
      <c r="X201" s="7">
        <v>25000</v>
      </c>
      <c r="Y201" s="7">
        <v>0</v>
      </c>
      <c r="Z201" s="7">
        <v>1</v>
      </c>
      <c r="AA201" s="7">
        <v>23.4</v>
      </c>
      <c r="AB201" s="7">
        <v>2782</v>
      </c>
      <c r="AC201" s="7">
        <v>621000</v>
      </c>
      <c r="AD201" s="7">
        <v>621000</v>
      </c>
      <c r="AE201" s="7">
        <v>306617.2</v>
      </c>
      <c r="AF201" s="7">
        <v>340</v>
      </c>
      <c r="AG201" s="7">
        <v>138</v>
      </c>
      <c r="AH201" s="12">
        <v>340</v>
      </c>
    </row>
    <row r="202" spans="1:34" ht="21" hidden="1" x14ac:dyDescent="0.25">
      <c r="A202" s="11">
        <v>20</v>
      </c>
      <c r="B202" s="8" t="s">
        <v>30</v>
      </c>
      <c r="C202" s="7">
        <v>1597</v>
      </c>
      <c r="D202" s="8" t="s">
        <v>125</v>
      </c>
      <c r="E202" s="8" t="s">
        <v>17</v>
      </c>
      <c r="F202" s="8" t="s">
        <v>12</v>
      </c>
      <c r="G202" s="7">
        <v>30000</v>
      </c>
      <c r="H202" s="7">
        <v>20</v>
      </c>
      <c r="I202" s="7">
        <v>20</v>
      </c>
      <c r="J202" s="7">
        <v>34279.15</v>
      </c>
      <c r="K202" s="7">
        <v>25304.332332999998</v>
      </c>
      <c r="L202" s="7">
        <v>0</v>
      </c>
      <c r="M202" s="7">
        <v>26.18</v>
      </c>
      <c r="N202" s="7">
        <v>40.340000000000003</v>
      </c>
      <c r="O202" s="7">
        <v>403253.01</v>
      </c>
      <c r="P202" s="7">
        <v>299537.48450800002</v>
      </c>
      <c r="Q202" s="7">
        <v>0</v>
      </c>
      <c r="R202" s="7">
        <v>25.72</v>
      </c>
      <c r="S202" s="7">
        <v>24</v>
      </c>
      <c r="T202" s="7">
        <v>19</v>
      </c>
      <c r="U202" s="7">
        <v>19</v>
      </c>
      <c r="V202" s="7">
        <v>146</v>
      </c>
      <c r="W202" s="7">
        <v>8.17</v>
      </c>
      <c r="X202" s="7">
        <v>30000</v>
      </c>
      <c r="Y202" s="7">
        <v>0</v>
      </c>
      <c r="Z202" s="7">
        <v>4</v>
      </c>
      <c r="AA202" s="7">
        <v>37.15</v>
      </c>
      <c r="AB202" s="7">
        <v>2782</v>
      </c>
      <c r="AC202" s="7">
        <v>331000</v>
      </c>
      <c r="AD202" s="7">
        <v>331000</v>
      </c>
      <c r="AE202" s="7">
        <v>124844.86</v>
      </c>
      <c r="AF202" s="7">
        <v>285</v>
      </c>
      <c r="AG202" s="7">
        <v>87</v>
      </c>
      <c r="AH202" s="12">
        <v>285</v>
      </c>
    </row>
    <row r="203" spans="1:34" hidden="1" x14ac:dyDescent="0.25">
      <c r="A203" s="11">
        <v>2</v>
      </c>
      <c r="B203" s="8" t="s">
        <v>10</v>
      </c>
      <c r="C203" s="7">
        <v>1598</v>
      </c>
      <c r="D203" s="8" t="s">
        <v>23</v>
      </c>
      <c r="E203" s="8" t="s">
        <v>17</v>
      </c>
      <c r="F203" s="8" t="s">
        <v>12</v>
      </c>
      <c r="G203" s="7">
        <v>45000</v>
      </c>
      <c r="H203" s="7">
        <v>32</v>
      </c>
      <c r="I203" s="7">
        <v>32</v>
      </c>
      <c r="J203" s="7">
        <v>12672.97</v>
      </c>
      <c r="K203" s="7">
        <v>9272.2189400000007</v>
      </c>
      <c r="L203" s="7">
        <v>0</v>
      </c>
      <c r="M203" s="7">
        <v>26.83</v>
      </c>
      <c r="N203" s="7">
        <v>14.22</v>
      </c>
      <c r="O203" s="7">
        <v>908207.64</v>
      </c>
      <c r="P203" s="7">
        <v>677234.64758200001</v>
      </c>
      <c r="Q203" s="7">
        <v>0</v>
      </c>
      <c r="R203" s="7">
        <v>25.43</v>
      </c>
      <c r="S203" s="7">
        <v>32</v>
      </c>
      <c r="T203" s="7">
        <v>19</v>
      </c>
      <c r="U203" s="7">
        <v>19</v>
      </c>
      <c r="V203" s="7">
        <v>163</v>
      </c>
      <c r="W203" s="7">
        <v>8.42</v>
      </c>
      <c r="X203" s="7">
        <v>45000</v>
      </c>
      <c r="Y203" s="7">
        <v>0</v>
      </c>
      <c r="Z203" s="7">
        <v>0</v>
      </c>
      <c r="AA203" s="7">
        <v>21.72</v>
      </c>
      <c r="AB203" s="7">
        <v>2782</v>
      </c>
      <c r="AC203" s="7">
        <v>1331000</v>
      </c>
      <c r="AD203" s="7">
        <v>1331000</v>
      </c>
      <c r="AE203" s="7">
        <v>1018464.25</v>
      </c>
      <c r="AF203" s="7">
        <v>845</v>
      </c>
      <c r="AG203" s="7">
        <v>634</v>
      </c>
      <c r="AH203" s="12">
        <v>845</v>
      </c>
    </row>
    <row r="204" spans="1:34" ht="21" hidden="1" x14ac:dyDescent="0.25">
      <c r="A204" s="11">
        <v>20</v>
      </c>
      <c r="B204" s="8" t="s">
        <v>30</v>
      </c>
      <c r="C204" s="7">
        <v>1599</v>
      </c>
      <c r="D204" s="8" t="s">
        <v>126</v>
      </c>
      <c r="E204" s="8" t="s">
        <v>17</v>
      </c>
      <c r="F204" s="8" t="s">
        <v>12</v>
      </c>
      <c r="G204" s="7">
        <v>25000</v>
      </c>
      <c r="H204" s="7">
        <v>20</v>
      </c>
      <c r="I204" s="7">
        <v>20</v>
      </c>
      <c r="J204" s="7">
        <v>4391.96</v>
      </c>
      <c r="K204" s="7">
        <v>3409.0707640000001</v>
      </c>
      <c r="L204" s="7">
        <v>0</v>
      </c>
      <c r="M204" s="7">
        <v>22.38</v>
      </c>
      <c r="N204" s="7">
        <v>37.71</v>
      </c>
      <c r="O204" s="7">
        <v>403253.01</v>
      </c>
      <c r="P204" s="7">
        <v>299537.48450800002</v>
      </c>
      <c r="Q204" s="7">
        <v>0</v>
      </c>
      <c r="R204" s="7">
        <v>25.72</v>
      </c>
      <c r="S204" s="7">
        <v>4</v>
      </c>
      <c r="T204" s="7">
        <v>19</v>
      </c>
      <c r="U204" s="7">
        <v>19</v>
      </c>
      <c r="V204" s="7">
        <v>17</v>
      </c>
      <c r="W204" s="7">
        <v>4.25</v>
      </c>
      <c r="X204" s="7">
        <v>25000</v>
      </c>
      <c r="Y204" s="7">
        <v>0</v>
      </c>
      <c r="Z204" s="7">
        <v>0</v>
      </c>
      <c r="AA204" s="7">
        <v>37.15</v>
      </c>
      <c r="AB204" s="7">
        <v>2782</v>
      </c>
      <c r="AC204" s="7">
        <v>331000</v>
      </c>
      <c r="AD204" s="7">
        <v>331000</v>
      </c>
      <c r="AE204" s="7">
        <v>124844.86</v>
      </c>
      <c r="AF204" s="7">
        <v>285</v>
      </c>
      <c r="AG204" s="7">
        <v>87</v>
      </c>
      <c r="AH204" s="12">
        <v>285</v>
      </c>
    </row>
    <row r="205" spans="1:34" ht="21" hidden="1" x14ac:dyDescent="0.25">
      <c r="A205" s="11">
        <v>17</v>
      </c>
      <c r="B205" s="8" t="s">
        <v>16</v>
      </c>
      <c r="C205" s="7">
        <v>1600</v>
      </c>
      <c r="D205" s="8" t="s">
        <v>81</v>
      </c>
      <c r="E205" s="8" t="s">
        <v>17</v>
      </c>
      <c r="F205" s="8" t="s">
        <v>12</v>
      </c>
      <c r="G205" s="7">
        <v>25000</v>
      </c>
      <c r="H205" s="7">
        <v>20</v>
      </c>
      <c r="I205" s="7">
        <v>20</v>
      </c>
      <c r="J205" s="7">
        <v>5445.8</v>
      </c>
      <c r="K205" s="7">
        <v>3576.6040640000001</v>
      </c>
      <c r="L205" s="7">
        <v>0</v>
      </c>
      <c r="M205" s="7">
        <v>34.32</v>
      </c>
      <c r="N205" s="7">
        <v>54.49</v>
      </c>
      <c r="O205" s="7">
        <v>296737.34000000003</v>
      </c>
      <c r="P205" s="7">
        <v>207292.61917799999</v>
      </c>
      <c r="Q205" s="7">
        <v>0</v>
      </c>
      <c r="R205" s="7">
        <v>30.14</v>
      </c>
      <c r="S205" s="7">
        <v>3</v>
      </c>
      <c r="T205" s="7">
        <v>19</v>
      </c>
      <c r="U205" s="7">
        <v>19</v>
      </c>
      <c r="V205" s="7">
        <v>49</v>
      </c>
      <c r="W205" s="7">
        <v>21</v>
      </c>
      <c r="X205" s="7">
        <v>25000</v>
      </c>
      <c r="Y205" s="7">
        <v>0</v>
      </c>
      <c r="Z205" s="7">
        <v>0</v>
      </c>
      <c r="AA205" s="7">
        <v>23.4</v>
      </c>
      <c r="AB205" s="7">
        <v>2782</v>
      </c>
      <c r="AC205" s="7">
        <v>621000</v>
      </c>
      <c r="AD205" s="7">
        <v>621000</v>
      </c>
      <c r="AE205" s="7">
        <v>306617.2</v>
      </c>
      <c r="AF205" s="7">
        <v>340</v>
      </c>
      <c r="AG205" s="7">
        <v>138</v>
      </c>
      <c r="AH205" s="12">
        <v>340</v>
      </c>
    </row>
    <row r="206" spans="1:34" hidden="1" x14ac:dyDescent="0.25">
      <c r="A206" s="11">
        <v>2</v>
      </c>
      <c r="B206" s="8" t="s">
        <v>10</v>
      </c>
      <c r="C206" s="7">
        <v>28</v>
      </c>
      <c r="D206" s="8" t="s">
        <v>98</v>
      </c>
      <c r="E206" s="8" t="s">
        <v>18</v>
      </c>
      <c r="F206" s="8" t="s">
        <v>12</v>
      </c>
      <c r="G206" s="7">
        <v>154000</v>
      </c>
      <c r="H206" s="7">
        <v>110</v>
      </c>
      <c r="I206" s="7">
        <v>110</v>
      </c>
      <c r="J206" s="7">
        <v>11998.67</v>
      </c>
      <c r="K206" s="7">
        <v>12493.794168</v>
      </c>
      <c r="L206" s="7">
        <v>0</v>
      </c>
      <c r="M206" s="7">
        <v>-4.13</v>
      </c>
      <c r="N206" s="7">
        <v>20.149999999999999</v>
      </c>
      <c r="O206" s="7">
        <v>846001.61</v>
      </c>
      <c r="P206" s="7">
        <v>637404.95297400001</v>
      </c>
      <c r="Q206" s="7">
        <v>0</v>
      </c>
      <c r="R206" s="7">
        <v>24.66</v>
      </c>
      <c r="S206" s="7">
        <v>1</v>
      </c>
      <c r="T206" s="7">
        <v>21</v>
      </c>
      <c r="U206" s="7">
        <v>21</v>
      </c>
      <c r="V206" s="7">
        <v>79</v>
      </c>
      <c r="W206" s="7">
        <v>5.86</v>
      </c>
      <c r="X206" s="7">
        <v>154000</v>
      </c>
      <c r="Y206" s="7">
        <v>0</v>
      </c>
      <c r="Z206" s="7">
        <v>0</v>
      </c>
      <c r="AA206" s="7">
        <v>21.03</v>
      </c>
      <c r="AB206" s="7">
        <v>2878</v>
      </c>
      <c r="AC206" s="7">
        <v>1279000</v>
      </c>
      <c r="AD206" s="7">
        <v>1279000</v>
      </c>
      <c r="AE206" s="7">
        <v>817160.5</v>
      </c>
      <c r="AF206" s="7">
        <v>815</v>
      </c>
      <c r="AG206" s="7">
        <v>491</v>
      </c>
      <c r="AH206" s="12">
        <v>815</v>
      </c>
    </row>
    <row r="207" spans="1:34" ht="21" hidden="1" x14ac:dyDescent="0.25">
      <c r="A207" s="11">
        <v>10</v>
      </c>
      <c r="B207" s="8" t="s">
        <v>180</v>
      </c>
      <c r="C207" s="7">
        <v>314</v>
      </c>
      <c r="D207" s="8" t="s">
        <v>42</v>
      </c>
      <c r="E207" s="8" t="s">
        <v>18</v>
      </c>
      <c r="F207" s="8" t="s">
        <v>12</v>
      </c>
      <c r="G207" s="7">
        <v>100000</v>
      </c>
      <c r="H207" s="7">
        <v>65</v>
      </c>
      <c r="I207" s="7">
        <v>65</v>
      </c>
      <c r="J207" s="7">
        <v>55105.31</v>
      </c>
      <c r="K207" s="7">
        <v>40467.768299000003</v>
      </c>
      <c r="L207" s="7">
        <v>0</v>
      </c>
      <c r="M207" s="7">
        <v>26.56</v>
      </c>
      <c r="N207" s="7">
        <v>22.05</v>
      </c>
      <c r="O207" s="7">
        <v>0</v>
      </c>
      <c r="P207" s="7">
        <v>0</v>
      </c>
      <c r="Q207" s="7">
        <v>0</v>
      </c>
      <c r="R207" s="7">
        <v>0</v>
      </c>
      <c r="S207" s="7">
        <v>67</v>
      </c>
      <c r="T207" s="7">
        <v>21</v>
      </c>
      <c r="U207" s="7">
        <v>21</v>
      </c>
      <c r="V207" s="7">
        <v>245</v>
      </c>
      <c r="W207" s="7">
        <v>7.6</v>
      </c>
      <c r="X207" s="7">
        <v>100000</v>
      </c>
      <c r="Y207" s="7">
        <v>3240.25</v>
      </c>
      <c r="Z207" s="7">
        <v>1</v>
      </c>
      <c r="AA207" s="7">
        <v>0</v>
      </c>
      <c r="AB207" s="7">
        <v>2878</v>
      </c>
      <c r="AC207" s="7">
        <v>631000</v>
      </c>
      <c r="AD207" s="7">
        <v>631000</v>
      </c>
      <c r="AE207" s="7">
        <v>388326.45</v>
      </c>
      <c r="AF207" s="7">
        <v>463</v>
      </c>
      <c r="AG207" s="7">
        <v>410</v>
      </c>
      <c r="AH207" s="12">
        <v>463</v>
      </c>
    </row>
    <row r="208" spans="1:34" ht="21" hidden="1" x14ac:dyDescent="0.25">
      <c r="A208" s="11">
        <v>4</v>
      </c>
      <c r="B208" s="8" t="s">
        <v>15</v>
      </c>
      <c r="C208" s="7">
        <v>374</v>
      </c>
      <c r="D208" s="8" t="s">
        <v>144</v>
      </c>
      <c r="E208" s="8" t="s">
        <v>18</v>
      </c>
      <c r="F208" s="8" t="s">
        <v>12</v>
      </c>
      <c r="G208" s="7">
        <v>0</v>
      </c>
      <c r="H208" s="7">
        <v>0</v>
      </c>
      <c r="I208" s="7">
        <v>0</v>
      </c>
      <c r="J208" s="7">
        <v>0</v>
      </c>
      <c r="K208" s="7">
        <v>767.27583300000003</v>
      </c>
      <c r="L208" s="7">
        <v>0</v>
      </c>
      <c r="M208" s="7">
        <v>0</v>
      </c>
      <c r="N208" s="7">
        <v>1</v>
      </c>
      <c r="O208" s="7">
        <v>605747.14</v>
      </c>
      <c r="P208" s="7">
        <v>440429.91221899999</v>
      </c>
      <c r="Q208" s="7">
        <v>0</v>
      </c>
      <c r="R208" s="7">
        <v>27.29</v>
      </c>
      <c r="S208" s="7">
        <v>0</v>
      </c>
      <c r="T208" s="7">
        <v>21</v>
      </c>
      <c r="U208" s="7">
        <v>21</v>
      </c>
      <c r="V208" s="7">
        <v>12</v>
      </c>
      <c r="W208" s="7">
        <v>1.08</v>
      </c>
      <c r="X208" s="7">
        <v>0</v>
      </c>
      <c r="Y208" s="7">
        <v>0</v>
      </c>
      <c r="Z208" s="7">
        <v>2</v>
      </c>
      <c r="AA208" s="7">
        <v>22.14</v>
      </c>
      <c r="AB208" s="7">
        <v>2878</v>
      </c>
      <c r="AC208" s="7">
        <v>805000</v>
      </c>
      <c r="AD208" s="7">
        <v>805000</v>
      </c>
      <c r="AE208" s="7">
        <v>672054.7</v>
      </c>
      <c r="AF208" s="7">
        <v>523</v>
      </c>
      <c r="AG208" s="7">
        <v>450</v>
      </c>
      <c r="AH208" s="12">
        <v>523</v>
      </c>
    </row>
    <row r="209" spans="1:34" hidden="1" x14ac:dyDescent="0.25">
      <c r="A209" s="11">
        <v>2</v>
      </c>
      <c r="B209" s="8" t="s">
        <v>10</v>
      </c>
      <c r="C209" s="7">
        <v>423</v>
      </c>
      <c r="D209" s="8" t="s">
        <v>43</v>
      </c>
      <c r="E209" s="8" t="s">
        <v>18</v>
      </c>
      <c r="F209" s="8" t="s">
        <v>12</v>
      </c>
      <c r="G209" s="7">
        <v>115000</v>
      </c>
      <c r="H209" s="7">
        <v>70</v>
      </c>
      <c r="I209" s="7">
        <v>70</v>
      </c>
      <c r="J209" s="7">
        <v>61799.59</v>
      </c>
      <c r="K209" s="7">
        <v>45099.317149000002</v>
      </c>
      <c r="L209" s="7">
        <v>0</v>
      </c>
      <c r="M209" s="7">
        <v>27.02</v>
      </c>
      <c r="N209" s="7">
        <v>16</v>
      </c>
      <c r="O209" s="7">
        <v>846001.61</v>
      </c>
      <c r="P209" s="7">
        <v>637404.95297400001</v>
      </c>
      <c r="Q209" s="7">
        <v>0</v>
      </c>
      <c r="R209" s="7">
        <v>24.66</v>
      </c>
      <c r="S209" s="7">
        <v>42</v>
      </c>
      <c r="T209" s="7">
        <v>21</v>
      </c>
      <c r="U209" s="7">
        <v>21</v>
      </c>
      <c r="V209" s="7">
        <v>292</v>
      </c>
      <c r="W209" s="7">
        <v>9.6199999999999992</v>
      </c>
      <c r="X209" s="7">
        <v>115000</v>
      </c>
      <c r="Y209" s="7">
        <v>4307.42</v>
      </c>
      <c r="Z209" s="7">
        <v>1</v>
      </c>
      <c r="AA209" s="7">
        <v>21.03</v>
      </c>
      <c r="AB209" s="7">
        <v>2878</v>
      </c>
      <c r="AC209" s="7">
        <v>1279000</v>
      </c>
      <c r="AD209" s="7">
        <v>1279000</v>
      </c>
      <c r="AE209" s="7">
        <v>817160.5</v>
      </c>
      <c r="AF209" s="7">
        <v>815</v>
      </c>
      <c r="AG209" s="7">
        <v>491</v>
      </c>
      <c r="AH209" s="12">
        <v>815</v>
      </c>
    </row>
    <row r="210" spans="1:34" ht="21" hidden="1" x14ac:dyDescent="0.25">
      <c r="A210" s="11">
        <v>6</v>
      </c>
      <c r="B210" s="8" t="s">
        <v>142</v>
      </c>
      <c r="C210" s="7">
        <v>465</v>
      </c>
      <c r="D210" s="8" t="s">
        <v>44</v>
      </c>
      <c r="E210" s="8" t="s">
        <v>18</v>
      </c>
      <c r="F210" s="8" t="s">
        <v>12</v>
      </c>
      <c r="G210" s="7">
        <v>90000</v>
      </c>
      <c r="H210" s="7">
        <v>82</v>
      </c>
      <c r="I210" s="7">
        <v>82</v>
      </c>
      <c r="J210" s="7">
        <v>73960.91</v>
      </c>
      <c r="K210" s="7">
        <v>55185.940505999999</v>
      </c>
      <c r="L210" s="7">
        <v>0</v>
      </c>
      <c r="M210" s="7">
        <v>25.38</v>
      </c>
      <c r="N210" s="7">
        <v>17.93</v>
      </c>
      <c r="O210" s="7">
        <v>745236.54</v>
      </c>
      <c r="P210" s="7">
        <v>557606.39015999995</v>
      </c>
      <c r="Q210" s="7">
        <v>0</v>
      </c>
      <c r="R210" s="7">
        <v>25.18</v>
      </c>
      <c r="S210" s="7">
        <v>79</v>
      </c>
      <c r="T210" s="7">
        <v>21</v>
      </c>
      <c r="U210" s="7">
        <v>21</v>
      </c>
      <c r="V210" s="7">
        <v>224</v>
      </c>
      <c r="W210" s="7">
        <v>7.4</v>
      </c>
      <c r="X210" s="7">
        <v>90000</v>
      </c>
      <c r="Y210" s="7">
        <v>450.26</v>
      </c>
      <c r="Z210" s="7">
        <v>5</v>
      </c>
      <c r="AA210" s="7">
        <v>21.43</v>
      </c>
      <c r="AB210" s="7">
        <v>2878</v>
      </c>
      <c r="AC210" s="7">
        <v>1045000</v>
      </c>
      <c r="AD210" s="7">
        <v>1045000</v>
      </c>
      <c r="AE210" s="7">
        <v>712884.96</v>
      </c>
      <c r="AF210" s="7">
        <v>862</v>
      </c>
      <c r="AG210" s="7">
        <v>676</v>
      </c>
      <c r="AH210" s="12">
        <v>862</v>
      </c>
    </row>
    <row r="211" spans="1:34" ht="21" hidden="1" x14ac:dyDescent="0.25">
      <c r="A211" s="11">
        <v>6</v>
      </c>
      <c r="B211" s="8" t="s">
        <v>142</v>
      </c>
      <c r="C211" s="7">
        <v>481</v>
      </c>
      <c r="D211" s="8" t="s">
        <v>45</v>
      </c>
      <c r="E211" s="8" t="s">
        <v>18</v>
      </c>
      <c r="F211" s="8" t="s">
        <v>12</v>
      </c>
      <c r="G211" s="7">
        <v>50000</v>
      </c>
      <c r="H211" s="7">
        <v>40</v>
      </c>
      <c r="I211" s="7">
        <v>40</v>
      </c>
      <c r="J211" s="7">
        <v>53357.75</v>
      </c>
      <c r="K211" s="7">
        <v>40124.584690999996</v>
      </c>
      <c r="L211" s="7">
        <v>0</v>
      </c>
      <c r="M211" s="7">
        <v>24.8</v>
      </c>
      <c r="N211" s="7">
        <v>19.14</v>
      </c>
      <c r="O211" s="7">
        <v>745236.54</v>
      </c>
      <c r="P211" s="7">
        <v>557606.39015999995</v>
      </c>
      <c r="Q211" s="7">
        <v>0</v>
      </c>
      <c r="R211" s="7">
        <v>25.18</v>
      </c>
      <c r="S211" s="7">
        <v>32</v>
      </c>
      <c r="T211" s="7">
        <v>21</v>
      </c>
      <c r="U211" s="7">
        <v>21</v>
      </c>
      <c r="V211" s="7">
        <v>258</v>
      </c>
      <c r="W211" s="7">
        <v>9.2899999999999991</v>
      </c>
      <c r="X211" s="7">
        <v>50000</v>
      </c>
      <c r="Y211" s="7">
        <v>9518.98</v>
      </c>
      <c r="Z211" s="7">
        <v>3</v>
      </c>
      <c r="AA211" s="7">
        <v>21.43</v>
      </c>
      <c r="AB211" s="7">
        <v>2878</v>
      </c>
      <c r="AC211" s="7">
        <v>1045000</v>
      </c>
      <c r="AD211" s="7">
        <v>1045000</v>
      </c>
      <c r="AE211" s="7">
        <v>712884.96</v>
      </c>
      <c r="AF211" s="7">
        <v>862</v>
      </c>
      <c r="AG211" s="7">
        <v>676</v>
      </c>
      <c r="AH211" s="12">
        <v>862</v>
      </c>
    </row>
    <row r="212" spans="1:34" hidden="1" x14ac:dyDescent="0.25">
      <c r="A212" s="11">
        <v>2</v>
      </c>
      <c r="B212" s="8" t="s">
        <v>10</v>
      </c>
      <c r="C212" s="7">
        <v>520</v>
      </c>
      <c r="D212" s="8" t="s">
        <v>46</v>
      </c>
      <c r="E212" s="8" t="s">
        <v>18</v>
      </c>
      <c r="F212" s="8" t="s">
        <v>12</v>
      </c>
      <c r="G212" s="7">
        <v>115000</v>
      </c>
      <c r="H212" s="7">
        <v>69</v>
      </c>
      <c r="I212" s="7">
        <v>69</v>
      </c>
      <c r="J212" s="7">
        <v>84377.93</v>
      </c>
      <c r="K212" s="7">
        <v>61607.295265000001</v>
      </c>
      <c r="L212" s="7">
        <v>0</v>
      </c>
      <c r="M212" s="7">
        <v>26.99</v>
      </c>
      <c r="N212" s="7">
        <v>28.89</v>
      </c>
      <c r="O212" s="7">
        <v>846001.61</v>
      </c>
      <c r="P212" s="7">
        <v>637404.95297400001</v>
      </c>
      <c r="Q212" s="7">
        <v>0</v>
      </c>
      <c r="R212" s="7">
        <v>24.66</v>
      </c>
      <c r="S212" s="7">
        <v>50</v>
      </c>
      <c r="T212" s="7">
        <v>21</v>
      </c>
      <c r="U212" s="7">
        <v>21</v>
      </c>
      <c r="V212" s="7">
        <v>245</v>
      </c>
      <c r="W212" s="7">
        <v>12.4</v>
      </c>
      <c r="X212" s="7">
        <v>115000</v>
      </c>
      <c r="Y212" s="7">
        <v>8496.7900000000009</v>
      </c>
      <c r="Z212" s="7">
        <v>0</v>
      </c>
      <c r="AA212" s="7">
        <v>21.03</v>
      </c>
      <c r="AB212" s="7">
        <v>2878</v>
      </c>
      <c r="AC212" s="7">
        <v>1279000</v>
      </c>
      <c r="AD212" s="7">
        <v>1279000</v>
      </c>
      <c r="AE212" s="7">
        <v>817160.5</v>
      </c>
      <c r="AF212" s="7">
        <v>815</v>
      </c>
      <c r="AG212" s="7">
        <v>491</v>
      </c>
      <c r="AH212" s="12">
        <v>815</v>
      </c>
    </row>
    <row r="213" spans="1:34" hidden="1" x14ac:dyDescent="0.25">
      <c r="A213" s="11">
        <v>2</v>
      </c>
      <c r="B213" s="8" t="s">
        <v>10</v>
      </c>
      <c r="C213" s="7">
        <v>577</v>
      </c>
      <c r="D213" s="8" t="s">
        <v>47</v>
      </c>
      <c r="E213" s="8" t="s">
        <v>18</v>
      </c>
      <c r="F213" s="8" t="s">
        <v>12</v>
      </c>
      <c r="G213" s="7">
        <v>100000</v>
      </c>
      <c r="H213" s="7">
        <v>15</v>
      </c>
      <c r="I213" s="7">
        <v>15</v>
      </c>
      <c r="J213" s="7">
        <v>101534.39</v>
      </c>
      <c r="K213" s="7">
        <v>79193.833379999996</v>
      </c>
      <c r="L213" s="7">
        <v>0</v>
      </c>
      <c r="M213" s="7">
        <v>22</v>
      </c>
      <c r="N213" s="7">
        <v>21.96</v>
      </c>
      <c r="O213" s="7">
        <v>846001.61</v>
      </c>
      <c r="P213" s="7">
        <v>637404.95297400001</v>
      </c>
      <c r="Q213" s="7">
        <v>0</v>
      </c>
      <c r="R213" s="7">
        <v>24.66</v>
      </c>
      <c r="S213" s="7">
        <v>15</v>
      </c>
      <c r="T213" s="7">
        <v>21</v>
      </c>
      <c r="U213" s="7">
        <v>21</v>
      </c>
      <c r="V213" s="7">
        <v>145</v>
      </c>
      <c r="W213" s="7">
        <v>8.65</v>
      </c>
      <c r="X213" s="7">
        <v>100000</v>
      </c>
      <c r="Y213" s="7">
        <v>336.09</v>
      </c>
      <c r="Z213" s="7">
        <v>0</v>
      </c>
      <c r="AA213" s="7">
        <v>21.03</v>
      </c>
      <c r="AB213" s="7">
        <v>2878</v>
      </c>
      <c r="AC213" s="7">
        <v>1279000</v>
      </c>
      <c r="AD213" s="7">
        <v>1279000</v>
      </c>
      <c r="AE213" s="7">
        <v>817160.5</v>
      </c>
      <c r="AF213" s="7">
        <v>815</v>
      </c>
      <c r="AG213" s="7">
        <v>491</v>
      </c>
      <c r="AH213" s="12">
        <v>815</v>
      </c>
    </row>
    <row r="214" spans="1:34" ht="21" hidden="1" x14ac:dyDescent="0.25">
      <c r="A214" s="11">
        <v>26</v>
      </c>
      <c r="B214" s="8" t="s">
        <v>13</v>
      </c>
      <c r="C214" s="7">
        <v>661</v>
      </c>
      <c r="D214" s="8" t="s">
        <v>48</v>
      </c>
      <c r="E214" s="8" t="s">
        <v>18</v>
      </c>
      <c r="F214" s="8" t="s">
        <v>12</v>
      </c>
      <c r="G214" s="7">
        <v>115000</v>
      </c>
      <c r="H214" s="7">
        <v>85</v>
      </c>
      <c r="I214" s="7">
        <v>85</v>
      </c>
      <c r="J214" s="7">
        <v>151049.84</v>
      </c>
      <c r="K214" s="7">
        <v>115168.77899999999</v>
      </c>
      <c r="L214" s="7">
        <v>0</v>
      </c>
      <c r="M214" s="7">
        <v>23.75</v>
      </c>
      <c r="N214" s="7">
        <v>24.19</v>
      </c>
      <c r="O214" s="7">
        <v>1049577.82</v>
      </c>
      <c r="P214" s="7">
        <v>799787.90072599996</v>
      </c>
      <c r="Q214" s="7">
        <v>0</v>
      </c>
      <c r="R214" s="7">
        <v>23.8</v>
      </c>
      <c r="S214" s="7">
        <v>86</v>
      </c>
      <c r="T214" s="7">
        <v>21</v>
      </c>
      <c r="U214" s="7">
        <v>21</v>
      </c>
      <c r="V214" s="7">
        <v>312</v>
      </c>
      <c r="W214" s="7">
        <v>9.86</v>
      </c>
      <c r="X214" s="7">
        <v>115000</v>
      </c>
      <c r="Y214" s="7">
        <v>372.25</v>
      </c>
      <c r="Z214" s="7">
        <v>2</v>
      </c>
      <c r="AA214" s="7">
        <v>24.13</v>
      </c>
      <c r="AB214" s="7">
        <v>2878</v>
      </c>
      <c r="AC214" s="7">
        <v>968000</v>
      </c>
      <c r="AD214" s="7">
        <v>968000</v>
      </c>
      <c r="AE214" s="7">
        <v>884541.65</v>
      </c>
      <c r="AF214" s="7">
        <v>711</v>
      </c>
      <c r="AG214" s="7">
        <v>607</v>
      </c>
      <c r="AH214" s="12">
        <v>711</v>
      </c>
    </row>
    <row r="215" spans="1:34" hidden="1" x14ac:dyDescent="0.25">
      <c r="A215" s="11">
        <v>2</v>
      </c>
      <c r="B215" s="8" t="s">
        <v>10</v>
      </c>
      <c r="C215" s="7">
        <v>690</v>
      </c>
      <c r="D215" s="8" t="s">
        <v>49</v>
      </c>
      <c r="E215" s="8" t="s">
        <v>18</v>
      </c>
      <c r="F215" s="8" t="s">
        <v>12</v>
      </c>
      <c r="G215" s="7">
        <v>110000</v>
      </c>
      <c r="H215" s="7">
        <v>90</v>
      </c>
      <c r="I215" s="7">
        <v>90</v>
      </c>
      <c r="J215" s="7">
        <v>63768.65</v>
      </c>
      <c r="K215" s="7">
        <v>47701.498122999998</v>
      </c>
      <c r="L215" s="7">
        <v>0</v>
      </c>
      <c r="M215" s="7">
        <v>25.2</v>
      </c>
      <c r="N215" s="7">
        <v>17.829999999999998</v>
      </c>
      <c r="O215" s="7">
        <v>846001.61</v>
      </c>
      <c r="P215" s="7">
        <v>637404.95297400001</v>
      </c>
      <c r="Q215" s="7">
        <v>0</v>
      </c>
      <c r="R215" s="7">
        <v>24.66</v>
      </c>
      <c r="S215" s="7">
        <v>62</v>
      </c>
      <c r="T215" s="7">
        <v>21</v>
      </c>
      <c r="U215" s="7">
        <v>21</v>
      </c>
      <c r="V215" s="7">
        <v>327</v>
      </c>
      <c r="W215" s="7">
        <v>12</v>
      </c>
      <c r="X215" s="7">
        <v>110000</v>
      </c>
      <c r="Y215" s="7">
        <v>2000.74</v>
      </c>
      <c r="Z215" s="7">
        <v>1</v>
      </c>
      <c r="AA215" s="7">
        <v>21.03</v>
      </c>
      <c r="AB215" s="7">
        <v>2878</v>
      </c>
      <c r="AC215" s="7">
        <v>1279000</v>
      </c>
      <c r="AD215" s="7">
        <v>1279000</v>
      </c>
      <c r="AE215" s="7">
        <v>817160.5</v>
      </c>
      <c r="AF215" s="7">
        <v>815</v>
      </c>
      <c r="AG215" s="7">
        <v>491</v>
      </c>
      <c r="AH215" s="12">
        <v>815</v>
      </c>
    </row>
    <row r="216" spans="1:34" ht="21" hidden="1" x14ac:dyDescent="0.25">
      <c r="A216" s="11">
        <v>26</v>
      </c>
      <c r="B216" s="8" t="s">
        <v>13</v>
      </c>
      <c r="C216" s="7">
        <v>705</v>
      </c>
      <c r="D216" s="8" t="s">
        <v>50</v>
      </c>
      <c r="E216" s="8" t="s">
        <v>18</v>
      </c>
      <c r="F216" s="8" t="s">
        <v>12</v>
      </c>
      <c r="G216" s="7">
        <v>112000</v>
      </c>
      <c r="H216" s="7">
        <v>35</v>
      </c>
      <c r="I216" s="7">
        <v>35</v>
      </c>
      <c r="J216" s="7">
        <v>114999.74</v>
      </c>
      <c r="K216" s="7">
        <v>92653.417776000002</v>
      </c>
      <c r="L216" s="7">
        <v>0</v>
      </c>
      <c r="M216" s="7">
        <v>19.43</v>
      </c>
      <c r="N216" s="7">
        <v>28.22</v>
      </c>
      <c r="O216" s="7">
        <v>1049577.82</v>
      </c>
      <c r="P216" s="7">
        <v>799787.90072599996</v>
      </c>
      <c r="Q216" s="7">
        <v>0</v>
      </c>
      <c r="R216" s="7">
        <v>23.8</v>
      </c>
      <c r="S216" s="7">
        <v>31</v>
      </c>
      <c r="T216" s="7">
        <v>21</v>
      </c>
      <c r="U216" s="7">
        <v>21</v>
      </c>
      <c r="V216" s="7">
        <v>410</v>
      </c>
      <c r="W216" s="7">
        <v>14.11</v>
      </c>
      <c r="X216" s="7">
        <v>112000</v>
      </c>
      <c r="Y216" s="7">
        <v>2534.4</v>
      </c>
      <c r="Z216" s="7">
        <v>0</v>
      </c>
      <c r="AA216" s="7">
        <v>24.13</v>
      </c>
      <c r="AB216" s="7">
        <v>2878</v>
      </c>
      <c r="AC216" s="7">
        <v>968000</v>
      </c>
      <c r="AD216" s="7">
        <v>968000</v>
      </c>
      <c r="AE216" s="7">
        <v>884541.65</v>
      </c>
      <c r="AF216" s="7">
        <v>711</v>
      </c>
      <c r="AG216" s="7">
        <v>607</v>
      </c>
      <c r="AH216" s="12">
        <v>711</v>
      </c>
    </row>
    <row r="217" spans="1:34" ht="21" hidden="1" x14ac:dyDescent="0.25">
      <c r="A217" s="11">
        <v>6</v>
      </c>
      <c r="B217" s="8" t="s">
        <v>142</v>
      </c>
      <c r="C217" s="7">
        <v>746</v>
      </c>
      <c r="D217" s="8" t="s">
        <v>51</v>
      </c>
      <c r="E217" s="8" t="s">
        <v>18</v>
      </c>
      <c r="F217" s="8" t="s">
        <v>12</v>
      </c>
      <c r="G217" s="7">
        <v>100000</v>
      </c>
      <c r="H217" s="7">
        <v>60</v>
      </c>
      <c r="I217" s="7">
        <v>60</v>
      </c>
      <c r="J217" s="7">
        <v>41612.559999999998</v>
      </c>
      <c r="K217" s="7">
        <v>32410.075066000001</v>
      </c>
      <c r="L217" s="7">
        <v>0</v>
      </c>
      <c r="M217" s="7">
        <v>22.11</v>
      </c>
      <c r="N217" s="7">
        <v>24.72</v>
      </c>
      <c r="O217" s="7">
        <v>745236.54</v>
      </c>
      <c r="P217" s="7">
        <v>557606.39015999995</v>
      </c>
      <c r="Q217" s="7">
        <v>0</v>
      </c>
      <c r="R217" s="7">
        <v>25.18</v>
      </c>
      <c r="S217" s="7">
        <v>33</v>
      </c>
      <c r="T217" s="7">
        <v>21</v>
      </c>
      <c r="U217" s="7">
        <v>21</v>
      </c>
      <c r="V217" s="7">
        <v>240</v>
      </c>
      <c r="W217" s="7">
        <v>9.6999999999999993</v>
      </c>
      <c r="X217" s="7">
        <v>100000</v>
      </c>
      <c r="Y217" s="7">
        <v>493.9</v>
      </c>
      <c r="Z217" s="7">
        <v>0</v>
      </c>
      <c r="AA217" s="7">
        <v>21.43</v>
      </c>
      <c r="AB217" s="7">
        <v>2878</v>
      </c>
      <c r="AC217" s="7">
        <v>1045000</v>
      </c>
      <c r="AD217" s="7">
        <v>1045000</v>
      </c>
      <c r="AE217" s="7">
        <v>712884.96</v>
      </c>
      <c r="AF217" s="7">
        <v>862</v>
      </c>
      <c r="AG217" s="7">
        <v>676</v>
      </c>
      <c r="AH217" s="12">
        <v>862</v>
      </c>
    </row>
    <row r="218" spans="1:34" hidden="1" x14ac:dyDescent="0.25">
      <c r="A218" s="11">
        <v>2</v>
      </c>
      <c r="B218" s="8" t="s">
        <v>10</v>
      </c>
      <c r="C218" s="7">
        <v>756</v>
      </c>
      <c r="D218" s="8" t="s">
        <v>52</v>
      </c>
      <c r="E218" s="8" t="s">
        <v>18</v>
      </c>
      <c r="F218" s="8" t="s">
        <v>12</v>
      </c>
      <c r="G218" s="7">
        <v>110000</v>
      </c>
      <c r="H218" s="7">
        <v>60</v>
      </c>
      <c r="I218" s="7">
        <v>60</v>
      </c>
      <c r="J218" s="7">
        <v>31218.79</v>
      </c>
      <c r="K218" s="7">
        <v>23967.880905000002</v>
      </c>
      <c r="L218" s="7">
        <v>0</v>
      </c>
      <c r="M218" s="7">
        <v>23.23</v>
      </c>
      <c r="N218" s="7">
        <v>23.44</v>
      </c>
      <c r="O218" s="7">
        <v>846001.61</v>
      </c>
      <c r="P218" s="7">
        <v>637404.95297400001</v>
      </c>
      <c r="Q218" s="7">
        <v>0</v>
      </c>
      <c r="R218" s="7">
        <v>24.66</v>
      </c>
      <c r="S218" s="7">
        <v>27</v>
      </c>
      <c r="T218" s="7">
        <v>21</v>
      </c>
      <c r="U218" s="7">
        <v>21</v>
      </c>
      <c r="V218" s="7">
        <v>210</v>
      </c>
      <c r="W218" s="7">
        <v>10.49</v>
      </c>
      <c r="X218" s="7">
        <v>110000</v>
      </c>
      <c r="Y218" s="7">
        <v>317.5</v>
      </c>
      <c r="Z218" s="7">
        <v>0</v>
      </c>
      <c r="AA218" s="7">
        <v>21.03</v>
      </c>
      <c r="AB218" s="7">
        <v>2878</v>
      </c>
      <c r="AC218" s="7">
        <v>1279000</v>
      </c>
      <c r="AD218" s="7">
        <v>1279000</v>
      </c>
      <c r="AE218" s="7">
        <v>817160.5</v>
      </c>
      <c r="AF218" s="7">
        <v>815</v>
      </c>
      <c r="AG218" s="7">
        <v>491</v>
      </c>
      <c r="AH218" s="12">
        <v>815</v>
      </c>
    </row>
    <row r="219" spans="1:34" ht="21" hidden="1" x14ac:dyDescent="0.25">
      <c r="A219" s="11">
        <v>26</v>
      </c>
      <c r="B219" s="8" t="s">
        <v>13</v>
      </c>
      <c r="C219" s="7">
        <v>759</v>
      </c>
      <c r="D219" s="8" t="s">
        <v>53</v>
      </c>
      <c r="E219" s="8" t="s">
        <v>18</v>
      </c>
      <c r="F219" s="8" t="s">
        <v>12</v>
      </c>
      <c r="G219" s="7">
        <v>52000</v>
      </c>
      <c r="H219" s="7">
        <v>49</v>
      </c>
      <c r="I219" s="7">
        <v>49</v>
      </c>
      <c r="J219" s="7">
        <v>52925.97</v>
      </c>
      <c r="K219" s="7">
        <v>39654.814597999997</v>
      </c>
      <c r="L219" s="7">
        <v>0</v>
      </c>
      <c r="M219" s="7">
        <v>25.07</v>
      </c>
      <c r="N219" s="7">
        <v>19.7</v>
      </c>
      <c r="O219" s="7">
        <v>1049577.82</v>
      </c>
      <c r="P219" s="7">
        <v>799787.90072599996</v>
      </c>
      <c r="Q219" s="7">
        <v>0</v>
      </c>
      <c r="R219" s="7">
        <v>23.8</v>
      </c>
      <c r="S219" s="7">
        <v>49</v>
      </c>
      <c r="T219" s="7">
        <v>21</v>
      </c>
      <c r="U219" s="7">
        <v>21</v>
      </c>
      <c r="V219" s="7">
        <v>225</v>
      </c>
      <c r="W219" s="7">
        <v>10.050000000000001</v>
      </c>
      <c r="X219" s="7">
        <v>52000</v>
      </c>
      <c r="Y219" s="7">
        <v>104.73</v>
      </c>
      <c r="Z219" s="7">
        <v>1</v>
      </c>
      <c r="AA219" s="7">
        <v>24.13</v>
      </c>
      <c r="AB219" s="7">
        <v>2878</v>
      </c>
      <c r="AC219" s="7">
        <v>968000</v>
      </c>
      <c r="AD219" s="7">
        <v>968000</v>
      </c>
      <c r="AE219" s="7">
        <v>884541.65</v>
      </c>
      <c r="AF219" s="7">
        <v>711</v>
      </c>
      <c r="AG219" s="7">
        <v>607</v>
      </c>
      <c r="AH219" s="12">
        <v>711</v>
      </c>
    </row>
    <row r="220" spans="1:34" ht="21" hidden="1" x14ac:dyDescent="0.25">
      <c r="A220" s="11">
        <v>5</v>
      </c>
      <c r="B220" s="8" t="s">
        <v>143</v>
      </c>
      <c r="C220" s="7">
        <v>760</v>
      </c>
      <c r="D220" s="8" t="s">
        <v>54</v>
      </c>
      <c r="E220" s="8" t="s">
        <v>18</v>
      </c>
      <c r="F220" s="8" t="s">
        <v>12</v>
      </c>
      <c r="G220" s="7">
        <v>160000</v>
      </c>
      <c r="H220" s="7">
        <v>30</v>
      </c>
      <c r="I220" s="7">
        <v>30</v>
      </c>
      <c r="J220" s="7">
        <v>170894.87</v>
      </c>
      <c r="K220" s="7">
        <v>128704.885261</v>
      </c>
      <c r="L220" s="7">
        <v>0</v>
      </c>
      <c r="M220" s="7">
        <v>24.69</v>
      </c>
      <c r="N220" s="7">
        <v>41.94</v>
      </c>
      <c r="O220" s="7">
        <v>262785.44</v>
      </c>
      <c r="P220" s="7">
        <v>201080.285252</v>
      </c>
      <c r="Q220" s="7">
        <v>0</v>
      </c>
      <c r="R220" s="7">
        <v>23.48</v>
      </c>
      <c r="S220" s="7">
        <v>33</v>
      </c>
      <c r="T220" s="7">
        <v>21</v>
      </c>
      <c r="U220" s="7">
        <v>21</v>
      </c>
      <c r="V220" s="7">
        <v>126</v>
      </c>
      <c r="W220" s="7">
        <v>5.82</v>
      </c>
      <c r="X220" s="7">
        <v>160000</v>
      </c>
      <c r="Y220" s="7">
        <v>9630.2199999999993</v>
      </c>
      <c r="Z220" s="7">
        <v>0</v>
      </c>
      <c r="AA220" s="7">
        <v>24.18</v>
      </c>
      <c r="AB220" s="7">
        <v>2878</v>
      </c>
      <c r="AC220" s="7">
        <v>450000</v>
      </c>
      <c r="AD220" s="7">
        <v>450000</v>
      </c>
      <c r="AE220" s="7">
        <v>299960.98</v>
      </c>
      <c r="AF220" s="7">
        <v>200</v>
      </c>
      <c r="AG220" s="7">
        <v>100</v>
      </c>
      <c r="AH220" s="12">
        <v>200</v>
      </c>
    </row>
    <row r="221" spans="1:34" ht="21" hidden="1" x14ac:dyDescent="0.25">
      <c r="A221" s="11">
        <v>6</v>
      </c>
      <c r="B221" s="8" t="s">
        <v>142</v>
      </c>
      <c r="C221" s="7">
        <v>764</v>
      </c>
      <c r="D221" s="8" t="s">
        <v>55</v>
      </c>
      <c r="E221" s="8" t="s">
        <v>18</v>
      </c>
      <c r="F221" s="8" t="s">
        <v>12</v>
      </c>
      <c r="G221" s="7">
        <v>108000</v>
      </c>
      <c r="H221" s="7">
        <v>83</v>
      </c>
      <c r="I221" s="7">
        <v>83</v>
      </c>
      <c r="J221" s="7">
        <v>104161.34</v>
      </c>
      <c r="K221" s="7">
        <v>78282.455740000005</v>
      </c>
      <c r="L221" s="7">
        <v>0</v>
      </c>
      <c r="M221" s="7">
        <v>24.84</v>
      </c>
      <c r="N221" s="7">
        <v>18.95</v>
      </c>
      <c r="O221" s="7">
        <v>745236.54</v>
      </c>
      <c r="P221" s="7">
        <v>557606.39015999995</v>
      </c>
      <c r="Q221" s="7">
        <v>0</v>
      </c>
      <c r="R221" s="7">
        <v>25.18</v>
      </c>
      <c r="S221" s="7">
        <v>83</v>
      </c>
      <c r="T221" s="7">
        <v>21</v>
      </c>
      <c r="U221" s="7">
        <v>21</v>
      </c>
      <c r="V221" s="7">
        <v>626</v>
      </c>
      <c r="W221" s="7">
        <v>13.85</v>
      </c>
      <c r="X221" s="7">
        <v>108000</v>
      </c>
      <c r="Y221" s="7">
        <v>304.64999999999998</v>
      </c>
      <c r="Z221" s="7">
        <v>1</v>
      </c>
      <c r="AA221" s="7">
        <v>21.43</v>
      </c>
      <c r="AB221" s="7">
        <v>2878</v>
      </c>
      <c r="AC221" s="7">
        <v>1045000</v>
      </c>
      <c r="AD221" s="7">
        <v>1045000</v>
      </c>
      <c r="AE221" s="7">
        <v>712884.96</v>
      </c>
      <c r="AF221" s="7">
        <v>862</v>
      </c>
      <c r="AG221" s="7">
        <v>676</v>
      </c>
      <c r="AH221" s="12">
        <v>862</v>
      </c>
    </row>
    <row r="222" spans="1:34" ht="21" hidden="1" x14ac:dyDescent="0.25">
      <c r="A222" s="11">
        <v>26</v>
      </c>
      <c r="B222" s="8" t="s">
        <v>13</v>
      </c>
      <c r="C222" s="7">
        <v>796</v>
      </c>
      <c r="D222" s="8" t="s">
        <v>61</v>
      </c>
      <c r="E222" s="8" t="s">
        <v>18</v>
      </c>
      <c r="F222" s="8" t="s">
        <v>12</v>
      </c>
      <c r="G222" s="7">
        <v>37000</v>
      </c>
      <c r="H222" s="7">
        <v>3</v>
      </c>
      <c r="I222" s="7">
        <v>3</v>
      </c>
      <c r="J222" s="7">
        <v>35309.160000000003</v>
      </c>
      <c r="K222" s="7">
        <v>30999.581106000001</v>
      </c>
      <c r="L222" s="7">
        <v>0</v>
      </c>
      <c r="M222" s="7">
        <v>12.21</v>
      </c>
      <c r="N222" s="7">
        <v>37.119999999999997</v>
      </c>
      <c r="O222" s="7">
        <v>1049577.82</v>
      </c>
      <c r="P222" s="7">
        <v>799787.90072599996</v>
      </c>
      <c r="Q222" s="7">
        <v>0</v>
      </c>
      <c r="R222" s="7">
        <v>23.8</v>
      </c>
      <c r="S222" s="7">
        <v>1</v>
      </c>
      <c r="T222" s="7">
        <v>21</v>
      </c>
      <c r="U222" s="7">
        <v>21</v>
      </c>
      <c r="V222" s="7">
        <v>227</v>
      </c>
      <c r="W222" s="7">
        <v>6.56</v>
      </c>
      <c r="X222" s="7">
        <v>37000</v>
      </c>
      <c r="Y222" s="7">
        <v>341.85</v>
      </c>
      <c r="Z222" s="7">
        <v>0</v>
      </c>
      <c r="AA222" s="7">
        <v>24.13</v>
      </c>
      <c r="AB222" s="7">
        <v>2878</v>
      </c>
      <c r="AC222" s="7">
        <v>968000</v>
      </c>
      <c r="AD222" s="7">
        <v>968000</v>
      </c>
      <c r="AE222" s="7">
        <v>884541.65</v>
      </c>
      <c r="AF222" s="7">
        <v>711</v>
      </c>
      <c r="AG222" s="7">
        <v>607</v>
      </c>
      <c r="AH222" s="12">
        <v>711</v>
      </c>
    </row>
    <row r="223" spans="1:34" ht="21" hidden="1" x14ac:dyDescent="0.25">
      <c r="A223" s="11">
        <v>12</v>
      </c>
      <c r="B223" s="8" t="s">
        <v>14</v>
      </c>
      <c r="C223" s="7">
        <v>800</v>
      </c>
      <c r="D223" s="8" t="s">
        <v>117</v>
      </c>
      <c r="E223" s="8" t="s">
        <v>18</v>
      </c>
      <c r="F223" s="8" t="s">
        <v>12</v>
      </c>
      <c r="G223" s="7">
        <v>60000</v>
      </c>
      <c r="H223" s="7">
        <v>70</v>
      </c>
      <c r="I223" s="7">
        <v>70</v>
      </c>
      <c r="J223" s="7">
        <v>20105.240000000002</v>
      </c>
      <c r="K223" s="7">
        <v>15431.457866999999</v>
      </c>
      <c r="L223" s="7">
        <v>0</v>
      </c>
      <c r="M223" s="7">
        <v>23.25</v>
      </c>
      <c r="N223" s="7">
        <v>10.79</v>
      </c>
      <c r="O223" s="7">
        <v>341385.34</v>
      </c>
      <c r="P223" s="7">
        <v>256949.644531</v>
      </c>
      <c r="Q223" s="7">
        <v>0</v>
      </c>
      <c r="R223" s="7">
        <v>24.73</v>
      </c>
      <c r="S223" s="7">
        <v>37</v>
      </c>
      <c r="T223" s="7">
        <v>21</v>
      </c>
      <c r="U223" s="7">
        <v>21</v>
      </c>
      <c r="V223" s="7">
        <v>151</v>
      </c>
      <c r="W223" s="7">
        <v>5.88</v>
      </c>
      <c r="X223" s="7">
        <v>60000</v>
      </c>
      <c r="Y223" s="7">
        <v>1306.49</v>
      </c>
      <c r="Z223" s="7">
        <v>0</v>
      </c>
      <c r="AA223" s="7">
        <v>29.95</v>
      </c>
      <c r="AB223" s="7">
        <v>2878</v>
      </c>
      <c r="AC223" s="7">
        <v>665000</v>
      </c>
      <c r="AD223" s="7">
        <v>665000</v>
      </c>
      <c r="AE223" s="7">
        <v>304209.8</v>
      </c>
      <c r="AF223" s="7">
        <v>750</v>
      </c>
      <c r="AG223" s="7">
        <v>397</v>
      </c>
      <c r="AH223" s="12">
        <v>750</v>
      </c>
    </row>
    <row r="224" spans="1:34" hidden="1" x14ac:dyDescent="0.25">
      <c r="A224" s="11">
        <v>2</v>
      </c>
      <c r="B224" s="8" t="s">
        <v>10</v>
      </c>
      <c r="C224" s="7">
        <v>817</v>
      </c>
      <c r="D224" s="8" t="s">
        <v>57</v>
      </c>
      <c r="E224" s="8" t="s">
        <v>18</v>
      </c>
      <c r="F224" s="8" t="s">
        <v>12</v>
      </c>
      <c r="G224" s="7">
        <v>110000</v>
      </c>
      <c r="H224" s="7">
        <v>70</v>
      </c>
      <c r="I224" s="7">
        <v>70</v>
      </c>
      <c r="J224" s="7">
        <v>120969.2</v>
      </c>
      <c r="K224" s="7">
        <v>89244.449561000001</v>
      </c>
      <c r="L224" s="7">
        <v>0</v>
      </c>
      <c r="M224" s="7">
        <v>26.23</v>
      </c>
      <c r="N224" s="7">
        <v>20.91</v>
      </c>
      <c r="O224" s="7">
        <v>846001.61</v>
      </c>
      <c r="P224" s="7">
        <v>637404.95297400001</v>
      </c>
      <c r="Q224" s="7">
        <v>0</v>
      </c>
      <c r="R224" s="7">
        <v>24.66</v>
      </c>
      <c r="S224" s="7">
        <v>71</v>
      </c>
      <c r="T224" s="7">
        <v>21</v>
      </c>
      <c r="U224" s="7">
        <v>21</v>
      </c>
      <c r="V224" s="7">
        <v>399</v>
      </c>
      <c r="W224" s="7">
        <v>13.85</v>
      </c>
      <c r="X224" s="7">
        <v>110000</v>
      </c>
      <c r="Y224" s="7">
        <v>388.72</v>
      </c>
      <c r="Z224" s="7">
        <v>1</v>
      </c>
      <c r="AA224" s="7">
        <v>21.03</v>
      </c>
      <c r="AB224" s="7">
        <v>2878</v>
      </c>
      <c r="AC224" s="7">
        <v>1279000</v>
      </c>
      <c r="AD224" s="7">
        <v>1279000</v>
      </c>
      <c r="AE224" s="7">
        <v>817160.5</v>
      </c>
      <c r="AF224" s="7">
        <v>815</v>
      </c>
      <c r="AG224" s="7">
        <v>491</v>
      </c>
      <c r="AH224" s="12">
        <v>815</v>
      </c>
    </row>
    <row r="225" spans="1:34" ht="21" hidden="1" x14ac:dyDescent="0.25">
      <c r="A225" s="11">
        <v>12</v>
      </c>
      <c r="B225" s="8" t="s">
        <v>14</v>
      </c>
      <c r="C225" s="7">
        <v>853</v>
      </c>
      <c r="D225" s="8" t="s">
        <v>58</v>
      </c>
      <c r="E225" s="8" t="s">
        <v>18</v>
      </c>
      <c r="F225" s="8" t="s">
        <v>12</v>
      </c>
      <c r="G225" s="7">
        <v>60000</v>
      </c>
      <c r="H225" s="7">
        <v>65</v>
      </c>
      <c r="I225" s="7">
        <v>65</v>
      </c>
      <c r="J225" s="7">
        <v>33540.120000000003</v>
      </c>
      <c r="K225" s="7">
        <v>25847.996920000001</v>
      </c>
      <c r="L225" s="7">
        <v>0</v>
      </c>
      <c r="M225" s="7">
        <v>22.93</v>
      </c>
      <c r="N225" s="7">
        <v>15.96</v>
      </c>
      <c r="O225" s="7">
        <v>341385.34</v>
      </c>
      <c r="P225" s="7">
        <v>256949.644531</v>
      </c>
      <c r="Q225" s="7">
        <v>0</v>
      </c>
      <c r="R225" s="7">
        <v>24.73</v>
      </c>
      <c r="S225" s="7">
        <v>39</v>
      </c>
      <c r="T225" s="7">
        <v>21</v>
      </c>
      <c r="U225" s="7">
        <v>21</v>
      </c>
      <c r="V225" s="7">
        <v>244</v>
      </c>
      <c r="W225" s="7">
        <v>10.91</v>
      </c>
      <c r="X225" s="7">
        <v>60000</v>
      </c>
      <c r="Y225" s="7">
        <v>832.8</v>
      </c>
      <c r="Z225" s="7">
        <v>0</v>
      </c>
      <c r="AA225" s="7">
        <v>29.95</v>
      </c>
      <c r="AB225" s="7">
        <v>2878</v>
      </c>
      <c r="AC225" s="7">
        <v>665000</v>
      </c>
      <c r="AD225" s="7">
        <v>665000</v>
      </c>
      <c r="AE225" s="7">
        <v>304209.8</v>
      </c>
      <c r="AF225" s="7">
        <v>750</v>
      </c>
      <c r="AG225" s="7">
        <v>397</v>
      </c>
      <c r="AH225" s="12">
        <v>750</v>
      </c>
    </row>
    <row r="226" spans="1:34" ht="21" hidden="1" x14ac:dyDescent="0.25">
      <c r="A226" s="11">
        <v>12</v>
      </c>
      <c r="B226" s="8" t="s">
        <v>14</v>
      </c>
      <c r="C226" s="7">
        <v>884</v>
      </c>
      <c r="D226" s="8" t="s">
        <v>140</v>
      </c>
      <c r="E226" s="8" t="s">
        <v>18</v>
      </c>
      <c r="F226" s="8" t="s">
        <v>12</v>
      </c>
      <c r="G226" s="7">
        <v>50000</v>
      </c>
      <c r="H226" s="7">
        <v>60</v>
      </c>
      <c r="I226" s="7">
        <v>60</v>
      </c>
      <c r="J226" s="7">
        <v>231.88</v>
      </c>
      <c r="K226" s="7">
        <v>1834.909316</v>
      </c>
      <c r="L226" s="7">
        <v>0</v>
      </c>
      <c r="M226" s="7">
        <v>-691.32</v>
      </c>
      <c r="N226" s="7">
        <v>2.33</v>
      </c>
      <c r="O226" s="7">
        <v>341385.34</v>
      </c>
      <c r="P226" s="7">
        <v>256949.644531</v>
      </c>
      <c r="Q226" s="7">
        <v>0</v>
      </c>
      <c r="R226" s="7">
        <v>24.73</v>
      </c>
      <c r="S226" s="7">
        <v>1</v>
      </c>
      <c r="T226" s="7">
        <v>21</v>
      </c>
      <c r="U226" s="7">
        <v>21</v>
      </c>
      <c r="V226" s="7">
        <v>18</v>
      </c>
      <c r="W226" s="7">
        <v>1.71</v>
      </c>
      <c r="X226" s="7">
        <v>50000</v>
      </c>
      <c r="Y226" s="7">
        <v>0</v>
      </c>
      <c r="Z226" s="7">
        <v>0</v>
      </c>
      <c r="AA226" s="7">
        <v>29.95</v>
      </c>
      <c r="AB226" s="7">
        <v>2878</v>
      </c>
      <c r="AC226" s="7">
        <v>665000</v>
      </c>
      <c r="AD226" s="7">
        <v>665000</v>
      </c>
      <c r="AE226" s="7">
        <v>304209.8</v>
      </c>
      <c r="AF226" s="7">
        <v>750</v>
      </c>
      <c r="AG226" s="7">
        <v>397</v>
      </c>
      <c r="AH226" s="12">
        <v>750</v>
      </c>
    </row>
    <row r="227" spans="1:34" ht="21" hidden="1" x14ac:dyDescent="0.25">
      <c r="A227" s="11">
        <v>10</v>
      </c>
      <c r="B227" s="8" t="s">
        <v>180</v>
      </c>
      <c r="C227" s="7">
        <v>922</v>
      </c>
      <c r="D227" s="8" t="s">
        <v>59</v>
      </c>
      <c r="E227" s="8" t="s">
        <v>18</v>
      </c>
      <c r="F227" s="8" t="s">
        <v>12</v>
      </c>
      <c r="G227" s="7">
        <v>60000</v>
      </c>
      <c r="H227" s="7">
        <v>65</v>
      </c>
      <c r="I227" s="7">
        <v>65</v>
      </c>
      <c r="J227" s="7">
        <v>63709.42</v>
      </c>
      <c r="K227" s="7">
        <v>47250.524279999998</v>
      </c>
      <c r="L227" s="7">
        <v>0</v>
      </c>
      <c r="M227" s="7">
        <v>25.83</v>
      </c>
      <c r="N227" s="7">
        <v>22.41</v>
      </c>
      <c r="O227" s="7">
        <v>0</v>
      </c>
      <c r="P227" s="7">
        <v>0</v>
      </c>
      <c r="Q227" s="7">
        <v>0</v>
      </c>
      <c r="R227" s="7">
        <v>0</v>
      </c>
      <c r="S227" s="7">
        <v>69</v>
      </c>
      <c r="T227" s="7">
        <v>21</v>
      </c>
      <c r="U227" s="7">
        <v>21</v>
      </c>
      <c r="V227" s="7">
        <v>513</v>
      </c>
      <c r="W227" s="7">
        <v>10.99</v>
      </c>
      <c r="X227" s="7">
        <v>60000</v>
      </c>
      <c r="Y227" s="7">
        <v>186.12</v>
      </c>
      <c r="Z227" s="7">
        <v>2</v>
      </c>
      <c r="AA227" s="7">
        <v>0</v>
      </c>
      <c r="AB227" s="7">
        <v>2878</v>
      </c>
      <c r="AC227" s="7">
        <v>631000</v>
      </c>
      <c r="AD227" s="7">
        <v>631000</v>
      </c>
      <c r="AE227" s="7">
        <v>388326.45</v>
      </c>
      <c r="AF227" s="7">
        <v>463</v>
      </c>
      <c r="AG227" s="7">
        <v>410</v>
      </c>
      <c r="AH227" s="12">
        <v>463</v>
      </c>
    </row>
    <row r="228" spans="1:34" ht="21" hidden="1" x14ac:dyDescent="0.25">
      <c r="A228" s="11">
        <v>4</v>
      </c>
      <c r="B228" s="8" t="s">
        <v>15</v>
      </c>
      <c r="C228" s="7">
        <v>949</v>
      </c>
      <c r="D228" s="8" t="s">
        <v>60</v>
      </c>
      <c r="E228" s="8" t="s">
        <v>18</v>
      </c>
      <c r="F228" s="8" t="s">
        <v>12</v>
      </c>
      <c r="G228" s="7">
        <v>115000</v>
      </c>
      <c r="H228" s="7">
        <v>60</v>
      </c>
      <c r="I228" s="7">
        <v>60</v>
      </c>
      <c r="J228" s="7">
        <v>83120.56</v>
      </c>
      <c r="K228" s="7">
        <v>59819.962834999998</v>
      </c>
      <c r="L228" s="7">
        <v>0</v>
      </c>
      <c r="M228" s="7">
        <v>28.03</v>
      </c>
      <c r="N228" s="7">
        <v>19.98</v>
      </c>
      <c r="O228" s="7">
        <v>605747.14</v>
      </c>
      <c r="P228" s="7">
        <v>440429.91221899999</v>
      </c>
      <c r="Q228" s="7">
        <v>0</v>
      </c>
      <c r="R228" s="7">
        <v>27.29</v>
      </c>
      <c r="S228" s="7">
        <v>56</v>
      </c>
      <c r="T228" s="7">
        <v>21</v>
      </c>
      <c r="U228" s="7">
        <v>21</v>
      </c>
      <c r="V228" s="7">
        <v>624</v>
      </c>
      <c r="W228" s="7">
        <v>14.59</v>
      </c>
      <c r="X228" s="7">
        <v>115000</v>
      </c>
      <c r="Y228" s="7">
        <v>0</v>
      </c>
      <c r="Z228" s="7">
        <v>6</v>
      </c>
      <c r="AA228" s="7">
        <v>22.14</v>
      </c>
      <c r="AB228" s="7">
        <v>2878</v>
      </c>
      <c r="AC228" s="7">
        <v>805000</v>
      </c>
      <c r="AD228" s="7">
        <v>805000</v>
      </c>
      <c r="AE228" s="7">
        <v>672054.7</v>
      </c>
      <c r="AF228" s="7">
        <v>523</v>
      </c>
      <c r="AG228" s="7">
        <v>450</v>
      </c>
      <c r="AH228" s="12">
        <v>523</v>
      </c>
    </row>
    <row r="229" spans="1:34" ht="21" hidden="1" x14ac:dyDescent="0.25">
      <c r="A229" s="11">
        <v>26</v>
      </c>
      <c r="B229" s="8" t="s">
        <v>13</v>
      </c>
      <c r="C229" s="7">
        <v>950</v>
      </c>
      <c r="D229" s="8" t="s">
        <v>61</v>
      </c>
      <c r="E229" s="8" t="s">
        <v>18</v>
      </c>
      <c r="F229" s="8" t="s">
        <v>12</v>
      </c>
      <c r="G229" s="7">
        <v>88000</v>
      </c>
      <c r="H229" s="7">
        <v>71</v>
      </c>
      <c r="I229" s="7">
        <v>71</v>
      </c>
      <c r="J229" s="7">
        <v>63493.91</v>
      </c>
      <c r="K229" s="7">
        <v>47863.060742000001</v>
      </c>
      <c r="L229" s="7">
        <v>0</v>
      </c>
      <c r="M229" s="7">
        <v>24.62</v>
      </c>
      <c r="N229" s="7">
        <v>25.66</v>
      </c>
      <c r="O229" s="7">
        <v>1049577.82</v>
      </c>
      <c r="P229" s="7">
        <v>799787.90072599996</v>
      </c>
      <c r="Q229" s="7">
        <v>0</v>
      </c>
      <c r="R229" s="7">
        <v>23.8</v>
      </c>
      <c r="S229" s="7">
        <v>52</v>
      </c>
      <c r="T229" s="7">
        <v>21</v>
      </c>
      <c r="U229" s="7">
        <v>21</v>
      </c>
      <c r="V229" s="7">
        <v>302</v>
      </c>
      <c r="W229" s="7">
        <v>9.93</v>
      </c>
      <c r="X229" s="7">
        <v>88000</v>
      </c>
      <c r="Y229" s="7">
        <v>451.02</v>
      </c>
      <c r="Z229" s="7">
        <v>0</v>
      </c>
      <c r="AA229" s="7">
        <v>24.13</v>
      </c>
      <c r="AB229" s="7">
        <v>2878</v>
      </c>
      <c r="AC229" s="7">
        <v>968000</v>
      </c>
      <c r="AD229" s="7">
        <v>968000</v>
      </c>
      <c r="AE229" s="7">
        <v>884541.65</v>
      </c>
      <c r="AF229" s="7">
        <v>711</v>
      </c>
      <c r="AG229" s="7">
        <v>607</v>
      </c>
      <c r="AH229" s="12">
        <v>711</v>
      </c>
    </row>
    <row r="230" spans="1:34" ht="21" hidden="1" x14ac:dyDescent="0.25">
      <c r="A230" s="11">
        <v>26</v>
      </c>
      <c r="B230" s="8" t="s">
        <v>13</v>
      </c>
      <c r="C230" s="7">
        <v>962</v>
      </c>
      <c r="D230" s="8" t="s">
        <v>63</v>
      </c>
      <c r="E230" s="8" t="s">
        <v>18</v>
      </c>
      <c r="F230" s="8" t="s">
        <v>12</v>
      </c>
      <c r="G230" s="7">
        <v>50000</v>
      </c>
      <c r="H230" s="7">
        <v>49</v>
      </c>
      <c r="I230" s="7">
        <v>49</v>
      </c>
      <c r="J230" s="7">
        <v>47422.47</v>
      </c>
      <c r="K230" s="7">
        <v>36020.402600000001</v>
      </c>
      <c r="L230" s="7">
        <v>0</v>
      </c>
      <c r="M230" s="7">
        <v>24.04</v>
      </c>
      <c r="N230" s="7">
        <v>19.14</v>
      </c>
      <c r="O230" s="7">
        <v>1049577.82</v>
      </c>
      <c r="P230" s="7">
        <v>799787.90072599996</v>
      </c>
      <c r="Q230" s="7">
        <v>0</v>
      </c>
      <c r="R230" s="7">
        <v>23.8</v>
      </c>
      <c r="S230" s="7">
        <v>49</v>
      </c>
      <c r="T230" s="7">
        <v>21</v>
      </c>
      <c r="U230" s="7">
        <v>21</v>
      </c>
      <c r="V230" s="7">
        <v>398</v>
      </c>
      <c r="W230" s="7">
        <v>11.7</v>
      </c>
      <c r="X230" s="7">
        <v>50000</v>
      </c>
      <c r="Y230" s="7">
        <v>0</v>
      </c>
      <c r="Z230" s="7">
        <v>0</v>
      </c>
      <c r="AA230" s="7">
        <v>24.13</v>
      </c>
      <c r="AB230" s="7">
        <v>2878</v>
      </c>
      <c r="AC230" s="7">
        <v>968000</v>
      </c>
      <c r="AD230" s="7">
        <v>968000</v>
      </c>
      <c r="AE230" s="7">
        <v>884541.65</v>
      </c>
      <c r="AF230" s="7">
        <v>711</v>
      </c>
      <c r="AG230" s="7">
        <v>607</v>
      </c>
      <c r="AH230" s="12">
        <v>711</v>
      </c>
    </row>
    <row r="231" spans="1:34" ht="21" hidden="1" x14ac:dyDescent="0.25">
      <c r="A231" s="11">
        <v>4</v>
      </c>
      <c r="B231" s="8" t="s">
        <v>15</v>
      </c>
      <c r="C231" s="7">
        <v>977</v>
      </c>
      <c r="D231" s="8" t="s">
        <v>64</v>
      </c>
      <c r="E231" s="8" t="s">
        <v>18</v>
      </c>
      <c r="F231" s="8" t="s">
        <v>12</v>
      </c>
      <c r="G231" s="7">
        <v>150000</v>
      </c>
      <c r="H231" s="7">
        <v>104</v>
      </c>
      <c r="I231" s="7">
        <v>104</v>
      </c>
      <c r="J231" s="7">
        <v>177290.73</v>
      </c>
      <c r="K231" s="7">
        <v>128960.82124600001</v>
      </c>
      <c r="L231" s="7">
        <v>0</v>
      </c>
      <c r="M231" s="7">
        <v>27.26</v>
      </c>
      <c r="N231" s="7">
        <v>22.21</v>
      </c>
      <c r="O231" s="7">
        <v>605747.14</v>
      </c>
      <c r="P231" s="7">
        <v>440429.91221899999</v>
      </c>
      <c r="Q231" s="7">
        <v>0</v>
      </c>
      <c r="R231" s="7">
        <v>27.29</v>
      </c>
      <c r="S231" s="7">
        <v>105</v>
      </c>
      <c r="T231" s="7">
        <v>21</v>
      </c>
      <c r="U231" s="7">
        <v>21</v>
      </c>
      <c r="V231" s="7">
        <v>993</v>
      </c>
      <c r="W231" s="7">
        <v>16.61</v>
      </c>
      <c r="X231" s="7">
        <v>150000</v>
      </c>
      <c r="Y231" s="7">
        <v>0</v>
      </c>
      <c r="Z231" s="7">
        <v>0</v>
      </c>
      <c r="AA231" s="7">
        <v>22.14</v>
      </c>
      <c r="AB231" s="7">
        <v>2878</v>
      </c>
      <c r="AC231" s="7">
        <v>805000</v>
      </c>
      <c r="AD231" s="7">
        <v>805000</v>
      </c>
      <c r="AE231" s="7">
        <v>672054.7</v>
      </c>
      <c r="AF231" s="7">
        <v>523</v>
      </c>
      <c r="AG231" s="7">
        <v>450</v>
      </c>
      <c r="AH231" s="12">
        <v>523</v>
      </c>
    </row>
    <row r="232" spans="1:34" ht="21" hidden="1" x14ac:dyDescent="0.25">
      <c r="A232" s="11">
        <v>6</v>
      </c>
      <c r="B232" s="8" t="s">
        <v>142</v>
      </c>
      <c r="C232" s="7">
        <v>983</v>
      </c>
      <c r="D232" s="8" t="s">
        <v>138</v>
      </c>
      <c r="E232" s="8" t="s">
        <v>18</v>
      </c>
      <c r="F232" s="8" t="s">
        <v>12</v>
      </c>
      <c r="G232" s="7">
        <v>50000</v>
      </c>
      <c r="H232" s="7">
        <v>27</v>
      </c>
      <c r="I232" s="7">
        <v>27</v>
      </c>
      <c r="J232" s="7">
        <v>0</v>
      </c>
      <c r="K232" s="7">
        <v>969.75806799999998</v>
      </c>
      <c r="L232" s="7">
        <v>0</v>
      </c>
      <c r="M232" s="7">
        <v>0</v>
      </c>
      <c r="N232" s="7">
        <v>1</v>
      </c>
      <c r="O232" s="7">
        <v>745236.54</v>
      </c>
      <c r="P232" s="7">
        <v>557606.39015999995</v>
      </c>
      <c r="Q232" s="7">
        <v>0</v>
      </c>
      <c r="R232" s="7">
        <v>25.18</v>
      </c>
      <c r="S232" s="7">
        <v>0</v>
      </c>
      <c r="T232" s="7">
        <v>21</v>
      </c>
      <c r="U232" s="7">
        <v>21</v>
      </c>
      <c r="V232" s="7">
        <v>14</v>
      </c>
      <c r="W232" s="7">
        <v>1.45</v>
      </c>
      <c r="X232" s="7">
        <v>50000</v>
      </c>
      <c r="Y232" s="7">
        <v>1836.72</v>
      </c>
      <c r="Z232" s="7">
        <v>0</v>
      </c>
      <c r="AA232" s="7">
        <v>21.43</v>
      </c>
      <c r="AB232" s="7">
        <v>2878</v>
      </c>
      <c r="AC232" s="7">
        <v>1045000</v>
      </c>
      <c r="AD232" s="7">
        <v>1045000</v>
      </c>
      <c r="AE232" s="7">
        <v>712884.96</v>
      </c>
      <c r="AF232" s="7">
        <v>862</v>
      </c>
      <c r="AG232" s="7">
        <v>676</v>
      </c>
      <c r="AH232" s="12">
        <v>862</v>
      </c>
    </row>
    <row r="233" spans="1:34" ht="21" hidden="1" x14ac:dyDescent="0.25">
      <c r="A233" s="11">
        <v>26</v>
      </c>
      <c r="B233" s="8" t="s">
        <v>13</v>
      </c>
      <c r="C233" s="7">
        <v>1023</v>
      </c>
      <c r="D233" s="8" t="s">
        <v>66</v>
      </c>
      <c r="E233" s="8" t="s">
        <v>18</v>
      </c>
      <c r="F233" s="8" t="s">
        <v>12</v>
      </c>
      <c r="G233" s="7">
        <v>95000</v>
      </c>
      <c r="H233" s="7">
        <v>86</v>
      </c>
      <c r="I233" s="7">
        <v>86</v>
      </c>
      <c r="J233" s="7">
        <v>79774.91</v>
      </c>
      <c r="K233" s="7">
        <v>58910.389142</v>
      </c>
      <c r="L233" s="7">
        <v>0</v>
      </c>
      <c r="M233" s="7">
        <v>26.15</v>
      </c>
      <c r="N233" s="7">
        <v>26.1</v>
      </c>
      <c r="O233" s="7">
        <v>1049577.82</v>
      </c>
      <c r="P233" s="7">
        <v>799787.90072599996</v>
      </c>
      <c r="Q233" s="7">
        <v>0</v>
      </c>
      <c r="R233" s="7">
        <v>23.8</v>
      </c>
      <c r="S233" s="7">
        <v>46</v>
      </c>
      <c r="T233" s="7">
        <v>21</v>
      </c>
      <c r="U233" s="7">
        <v>21</v>
      </c>
      <c r="V233" s="7">
        <v>422</v>
      </c>
      <c r="W233" s="7">
        <v>14.22</v>
      </c>
      <c r="X233" s="7">
        <v>95000</v>
      </c>
      <c r="Y233" s="7">
        <v>687.18</v>
      </c>
      <c r="Z233" s="7">
        <v>0</v>
      </c>
      <c r="AA233" s="7">
        <v>24.13</v>
      </c>
      <c r="AB233" s="7">
        <v>2878</v>
      </c>
      <c r="AC233" s="7">
        <v>968000</v>
      </c>
      <c r="AD233" s="7">
        <v>968000</v>
      </c>
      <c r="AE233" s="7">
        <v>884541.65</v>
      </c>
      <c r="AF233" s="7">
        <v>711</v>
      </c>
      <c r="AG233" s="7">
        <v>607</v>
      </c>
      <c r="AH233" s="12">
        <v>711</v>
      </c>
    </row>
    <row r="234" spans="1:34" hidden="1" x14ac:dyDescent="0.25">
      <c r="A234" s="11">
        <v>2</v>
      </c>
      <c r="B234" s="8" t="s">
        <v>10</v>
      </c>
      <c r="C234" s="7">
        <v>1027</v>
      </c>
      <c r="D234" s="8" t="s">
        <v>127</v>
      </c>
      <c r="E234" s="8" t="s">
        <v>18</v>
      </c>
      <c r="F234" s="8" t="s">
        <v>12</v>
      </c>
      <c r="G234" s="7">
        <v>65000</v>
      </c>
      <c r="H234" s="7">
        <v>50</v>
      </c>
      <c r="I234" s="7">
        <v>50</v>
      </c>
      <c r="J234" s="7">
        <v>63501.120000000003</v>
      </c>
      <c r="K234" s="7">
        <v>47180.934346000002</v>
      </c>
      <c r="L234" s="7">
        <v>0</v>
      </c>
      <c r="M234" s="7">
        <v>25.7</v>
      </c>
      <c r="N234" s="7">
        <v>24.65</v>
      </c>
      <c r="O234" s="7">
        <v>846001.61</v>
      </c>
      <c r="P234" s="7">
        <v>637404.95297400001</v>
      </c>
      <c r="Q234" s="7">
        <v>0</v>
      </c>
      <c r="R234" s="7">
        <v>24.66</v>
      </c>
      <c r="S234" s="7">
        <v>37</v>
      </c>
      <c r="T234" s="7">
        <v>21</v>
      </c>
      <c r="U234" s="7">
        <v>21</v>
      </c>
      <c r="V234" s="7">
        <v>459</v>
      </c>
      <c r="W234" s="7">
        <v>16.59</v>
      </c>
      <c r="X234" s="7">
        <v>65000</v>
      </c>
      <c r="Y234" s="7">
        <v>0</v>
      </c>
      <c r="Z234" s="7">
        <v>1</v>
      </c>
      <c r="AA234" s="7">
        <v>21.03</v>
      </c>
      <c r="AB234" s="7">
        <v>2878</v>
      </c>
      <c r="AC234" s="7">
        <v>1279000</v>
      </c>
      <c r="AD234" s="7">
        <v>1279000</v>
      </c>
      <c r="AE234" s="7">
        <v>817160.5</v>
      </c>
      <c r="AF234" s="7">
        <v>815</v>
      </c>
      <c r="AG234" s="7">
        <v>491</v>
      </c>
      <c r="AH234" s="12">
        <v>815</v>
      </c>
    </row>
    <row r="235" spans="1:34" ht="21" hidden="1" x14ac:dyDescent="0.25">
      <c r="A235" s="11">
        <v>12</v>
      </c>
      <c r="B235" s="8" t="s">
        <v>14</v>
      </c>
      <c r="C235" s="7">
        <v>1036</v>
      </c>
      <c r="D235" s="8" t="s">
        <v>45</v>
      </c>
      <c r="E235" s="8" t="s">
        <v>18</v>
      </c>
      <c r="F235" s="8" t="s">
        <v>12</v>
      </c>
      <c r="G235" s="7">
        <v>50000</v>
      </c>
      <c r="H235" s="7">
        <v>60</v>
      </c>
      <c r="I235" s="7">
        <v>60</v>
      </c>
      <c r="J235" s="7">
        <v>29019.62</v>
      </c>
      <c r="K235" s="7">
        <v>21918.334053999999</v>
      </c>
      <c r="L235" s="7">
        <v>0</v>
      </c>
      <c r="M235" s="7">
        <v>24.47</v>
      </c>
      <c r="N235" s="7">
        <v>15.64</v>
      </c>
      <c r="O235" s="7">
        <v>341385.34</v>
      </c>
      <c r="P235" s="7">
        <v>256949.644531</v>
      </c>
      <c r="Q235" s="7">
        <v>0</v>
      </c>
      <c r="R235" s="7">
        <v>24.73</v>
      </c>
      <c r="S235" s="7">
        <v>31</v>
      </c>
      <c r="T235" s="7">
        <v>21</v>
      </c>
      <c r="U235" s="7">
        <v>21</v>
      </c>
      <c r="V235" s="7">
        <v>198</v>
      </c>
      <c r="W235" s="7">
        <v>11.05</v>
      </c>
      <c r="X235" s="7">
        <v>50000</v>
      </c>
      <c r="Y235" s="7">
        <v>15.96</v>
      </c>
      <c r="Z235" s="7">
        <v>1</v>
      </c>
      <c r="AA235" s="7">
        <v>29.95</v>
      </c>
      <c r="AB235" s="7">
        <v>2878</v>
      </c>
      <c r="AC235" s="7">
        <v>665000</v>
      </c>
      <c r="AD235" s="7">
        <v>665000</v>
      </c>
      <c r="AE235" s="7">
        <v>304209.8</v>
      </c>
      <c r="AF235" s="7">
        <v>750</v>
      </c>
      <c r="AG235" s="7">
        <v>397</v>
      </c>
      <c r="AH235" s="12">
        <v>750</v>
      </c>
    </row>
    <row r="236" spans="1:34" ht="21" hidden="1" x14ac:dyDescent="0.25">
      <c r="A236" s="11">
        <v>12</v>
      </c>
      <c r="B236" s="8" t="s">
        <v>14</v>
      </c>
      <c r="C236" s="7">
        <v>1068</v>
      </c>
      <c r="D236" s="8" t="s">
        <v>67</v>
      </c>
      <c r="E236" s="8" t="s">
        <v>18</v>
      </c>
      <c r="F236" s="8" t="s">
        <v>12</v>
      </c>
      <c r="G236" s="7">
        <v>70000</v>
      </c>
      <c r="H236" s="7">
        <v>65</v>
      </c>
      <c r="I236" s="7">
        <v>65</v>
      </c>
      <c r="J236" s="7">
        <v>48941.1</v>
      </c>
      <c r="K236" s="7">
        <v>37831.001906999998</v>
      </c>
      <c r="L236" s="7">
        <v>0</v>
      </c>
      <c r="M236" s="7">
        <v>22.7</v>
      </c>
      <c r="N236" s="7">
        <v>19.14</v>
      </c>
      <c r="O236" s="7">
        <v>341385.34</v>
      </c>
      <c r="P236" s="7">
        <v>256949.644531</v>
      </c>
      <c r="Q236" s="7">
        <v>0</v>
      </c>
      <c r="R236" s="7">
        <v>24.73</v>
      </c>
      <c r="S236" s="7">
        <v>65</v>
      </c>
      <c r="T236" s="7">
        <v>21</v>
      </c>
      <c r="U236" s="7">
        <v>21</v>
      </c>
      <c r="V236" s="7">
        <v>295</v>
      </c>
      <c r="W236" s="7">
        <v>8.64</v>
      </c>
      <c r="X236" s="7">
        <v>70000</v>
      </c>
      <c r="Y236" s="7">
        <v>393.33</v>
      </c>
      <c r="Z236" s="7">
        <v>1</v>
      </c>
      <c r="AA236" s="7">
        <v>29.95</v>
      </c>
      <c r="AB236" s="7">
        <v>2878</v>
      </c>
      <c r="AC236" s="7">
        <v>665000</v>
      </c>
      <c r="AD236" s="7">
        <v>665000</v>
      </c>
      <c r="AE236" s="7">
        <v>304209.8</v>
      </c>
      <c r="AF236" s="7">
        <v>750</v>
      </c>
      <c r="AG236" s="7">
        <v>397</v>
      </c>
      <c r="AH236" s="12">
        <v>750</v>
      </c>
    </row>
    <row r="237" spans="1:34" ht="21" hidden="1" x14ac:dyDescent="0.25">
      <c r="A237" s="11">
        <v>5</v>
      </c>
      <c r="B237" s="8" t="s">
        <v>143</v>
      </c>
      <c r="C237" s="7">
        <v>1125</v>
      </c>
      <c r="D237" s="8" t="s">
        <v>42</v>
      </c>
      <c r="E237" s="8" t="s">
        <v>18</v>
      </c>
      <c r="F237" s="8" t="s">
        <v>12</v>
      </c>
      <c r="G237" s="7">
        <v>80000</v>
      </c>
      <c r="H237" s="7">
        <v>20</v>
      </c>
      <c r="I237" s="7">
        <v>20</v>
      </c>
      <c r="J237" s="7">
        <v>4921.28</v>
      </c>
      <c r="K237" s="7">
        <v>4160.9189180000003</v>
      </c>
      <c r="L237" s="7">
        <v>0</v>
      </c>
      <c r="M237" s="7">
        <v>15.45</v>
      </c>
      <c r="N237" s="7">
        <v>25.79</v>
      </c>
      <c r="O237" s="7">
        <v>262785.44</v>
      </c>
      <c r="P237" s="7">
        <v>201080.285252</v>
      </c>
      <c r="Q237" s="7">
        <v>0</v>
      </c>
      <c r="R237" s="7">
        <v>23.48</v>
      </c>
      <c r="S237" s="7">
        <v>3</v>
      </c>
      <c r="T237" s="7">
        <v>21</v>
      </c>
      <c r="U237" s="7">
        <v>21</v>
      </c>
      <c r="V237" s="7">
        <v>24</v>
      </c>
      <c r="W237" s="7">
        <v>6.6</v>
      </c>
      <c r="X237" s="7">
        <v>80000</v>
      </c>
      <c r="Y237" s="7">
        <v>1217</v>
      </c>
      <c r="Z237" s="7">
        <v>0</v>
      </c>
      <c r="AA237" s="7">
        <v>24.18</v>
      </c>
      <c r="AB237" s="7">
        <v>2878</v>
      </c>
      <c r="AC237" s="7">
        <v>450000</v>
      </c>
      <c r="AD237" s="7">
        <v>450000</v>
      </c>
      <c r="AE237" s="7">
        <v>299960.98</v>
      </c>
      <c r="AF237" s="7">
        <v>200</v>
      </c>
      <c r="AG237" s="7">
        <v>100</v>
      </c>
      <c r="AH237" s="12">
        <v>200</v>
      </c>
    </row>
    <row r="238" spans="1:34" ht="21" hidden="1" x14ac:dyDescent="0.25">
      <c r="A238" s="11">
        <v>20</v>
      </c>
      <c r="B238" s="8" t="s">
        <v>30</v>
      </c>
      <c r="C238" s="7">
        <v>1155</v>
      </c>
      <c r="D238" s="8" t="s">
        <v>119</v>
      </c>
      <c r="E238" s="8" t="s">
        <v>18</v>
      </c>
      <c r="F238" s="8" t="s">
        <v>12</v>
      </c>
      <c r="G238" s="7">
        <v>67000</v>
      </c>
      <c r="H238" s="7">
        <v>60</v>
      </c>
      <c r="I238" s="7">
        <v>60</v>
      </c>
      <c r="J238" s="7">
        <v>9424.2000000000007</v>
      </c>
      <c r="K238" s="7">
        <v>8025.8227189999998</v>
      </c>
      <c r="L238" s="7">
        <v>0</v>
      </c>
      <c r="M238" s="7">
        <v>14.84</v>
      </c>
      <c r="N238" s="7">
        <v>35.6</v>
      </c>
      <c r="O238" s="7">
        <v>419999.02</v>
      </c>
      <c r="P238" s="7">
        <v>316673.86645799997</v>
      </c>
      <c r="Q238" s="7">
        <v>0</v>
      </c>
      <c r="R238" s="7">
        <v>24.6</v>
      </c>
      <c r="S238" s="7">
        <v>6</v>
      </c>
      <c r="T238" s="7">
        <v>21</v>
      </c>
      <c r="U238" s="7">
        <v>21</v>
      </c>
      <c r="V238" s="7">
        <v>53</v>
      </c>
      <c r="W238" s="7">
        <v>4.07</v>
      </c>
      <c r="X238" s="7">
        <v>67000</v>
      </c>
      <c r="Y238" s="7">
        <v>74.75</v>
      </c>
      <c r="Z238" s="7">
        <v>0</v>
      </c>
      <c r="AA238" s="7">
        <v>33.020000000000003</v>
      </c>
      <c r="AB238" s="7">
        <v>2878</v>
      </c>
      <c r="AC238" s="7">
        <v>307000</v>
      </c>
      <c r="AD238" s="7">
        <v>307000</v>
      </c>
      <c r="AE238" s="7">
        <v>161835.67000000001</v>
      </c>
      <c r="AF238" s="7">
        <v>260</v>
      </c>
      <c r="AG238" s="7">
        <v>111</v>
      </c>
      <c r="AH238" s="12">
        <v>260</v>
      </c>
    </row>
    <row r="239" spans="1:34" ht="21" hidden="1" x14ac:dyDescent="0.25">
      <c r="A239" s="11">
        <v>5</v>
      </c>
      <c r="B239" s="8" t="s">
        <v>143</v>
      </c>
      <c r="C239" s="7">
        <v>1158</v>
      </c>
      <c r="D239" s="8" t="s">
        <v>139</v>
      </c>
      <c r="E239" s="8" t="s">
        <v>18</v>
      </c>
      <c r="F239" s="8" t="s">
        <v>12</v>
      </c>
      <c r="G239" s="7">
        <v>25000</v>
      </c>
      <c r="H239" s="7">
        <v>30</v>
      </c>
      <c r="I239" s="7">
        <v>30</v>
      </c>
      <c r="J239" s="7">
        <v>0</v>
      </c>
      <c r="K239" s="7">
        <v>634.81980199999998</v>
      </c>
      <c r="L239" s="7">
        <v>0</v>
      </c>
      <c r="M239" s="7">
        <v>0</v>
      </c>
      <c r="N239" s="7">
        <v>1</v>
      </c>
      <c r="O239" s="7">
        <v>262785.44</v>
      </c>
      <c r="P239" s="7">
        <v>201080.285252</v>
      </c>
      <c r="Q239" s="7">
        <v>0</v>
      </c>
      <c r="R239" s="7">
        <v>23.48</v>
      </c>
      <c r="S239" s="7">
        <v>0</v>
      </c>
      <c r="T239" s="7">
        <v>21</v>
      </c>
      <c r="U239" s="7">
        <v>21</v>
      </c>
      <c r="V239" s="7">
        <v>7</v>
      </c>
      <c r="W239" s="7">
        <v>2.33</v>
      </c>
      <c r="X239" s="7">
        <v>25000</v>
      </c>
      <c r="Y239" s="7">
        <v>0</v>
      </c>
      <c r="Z239" s="7">
        <v>0</v>
      </c>
      <c r="AA239" s="7">
        <v>24.18</v>
      </c>
      <c r="AB239" s="7">
        <v>2878</v>
      </c>
      <c r="AC239" s="7">
        <v>450000</v>
      </c>
      <c r="AD239" s="7">
        <v>450000</v>
      </c>
      <c r="AE239" s="7">
        <v>299960.98</v>
      </c>
      <c r="AF239" s="7">
        <v>200</v>
      </c>
      <c r="AG239" s="7">
        <v>100</v>
      </c>
      <c r="AH239" s="12">
        <v>200</v>
      </c>
    </row>
    <row r="240" spans="1:34" ht="21" hidden="1" x14ac:dyDescent="0.25">
      <c r="A240" s="11">
        <v>6</v>
      </c>
      <c r="B240" s="8" t="s">
        <v>142</v>
      </c>
      <c r="C240" s="7">
        <v>1171</v>
      </c>
      <c r="D240" s="8" t="s">
        <v>68</v>
      </c>
      <c r="E240" s="8" t="s">
        <v>18</v>
      </c>
      <c r="F240" s="8" t="s">
        <v>12</v>
      </c>
      <c r="G240" s="7">
        <v>125000</v>
      </c>
      <c r="H240" s="7">
        <v>90</v>
      </c>
      <c r="I240" s="7">
        <v>90</v>
      </c>
      <c r="J240" s="7">
        <v>69300.149999999994</v>
      </c>
      <c r="K240" s="7">
        <v>52218.526860999998</v>
      </c>
      <c r="L240" s="7">
        <v>0</v>
      </c>
      <c r="M240" s="7">
        <v>24.65</v>
      </c>
      <c r="N240" s="7">
        <v>22.82</v>
      </c>
      <c r="O240" s="7">
        <v>745236.54</v>
      </c>
      <c r="P240" s="7">
        <v>557606.39015999995</v>
      </c>
      <c r="Q240" s="7">
        <v>0</v>
      </c>
      <c r="R240" s="7">
        <v>25.18</v>
      </c>
      <c r="S240" s="7">
        <v>51</v>
      </c>
      <c r="T240" s="7">
        <v>21</v>
      </c>
      <c r="U240" s="7">
        <v>21</v>
      </c>
      <c r="V240" s="7">
        <v>594</v>
      </c>
      <c r="W240" s="7">
        <v>20.88</v>
      </c>
      <c r="X240" s="7">
        <v>125000</v>
      </c>
      <c r="Y240" s="7">
        <v>3816.83</v>
      </c>
      <c r="Z240" s="7">
        <v>0</v>
      </c>
      <c r="AA240" s="7">
        <v>21.43</v>
      </c>
      <c r="AB240" s="7">
        <v>2878</v>
      </c>
      <c r="AC240" s="7">
        <v>1045000</v>
      </c>
      <c r="AD240" s="7">
        <v>1045000</v>
      </c>
      <c r="AE240" s="7">
        <v>712884.96</v>
      </c>
      <c r="AF240" s="7">
        <v>862</v>
      </c>
      <c r="AG240" s="7">
        <v>676</v>
      </c>
      <c r="AH240" s="12">
        <v>862</v>
      </c>
    </row>
    <row r="241" spans="1:34" ht="21" hidden="1" x14ac:dyDescent="0.25">
      <c r="A241" s="11">
        <v>6</v>
      </c>
      <c r="B241" s="8" t="s">
        <v>142</v>
      </c>
      <c r="C241" s="7">
        <v>1237</v>
      </c>
      <c r="D241" s="8" t="s">
        <v>69</v>
      </c>
      <c r="E241" s="8" t="s">
        <v>18</v>
      </c>
      <c r="F241" s="8" t="s">
        <v>12</v>
      </c>
      <c r="G241" s="7">
        <v>69000</v>
      </c>
      <c r="H241" s="7">
        <v>69</v>
      </c>
      <c r="I241" s="7">
        <v>69</v>
      </c>
      <c r="J241" s="7">
        <v>53885.59</v>
      </c>
      <c r="K241" s="7">
        <v>39785.486154999999</v>
      </c>
      <c r="L241" s="7">
        <v>0</v>
      </c>
      <c r="M241" s="7">
        <v>26.17</v>
      </c>
      <c r="N241" s="7">
        <v>20.13</v>
      </c>
      <c r="O241" s="7">
        <v>745236.54</v>
      </c>
      <c r="P241" s="7">
        <v>557606.39015999995</v>
      </c>
      <c r="Q241" s="7">
        <v>0</v>
      </c>
      <c r="R241" s="7">
        <v>25.18</v>
      </c>
      <c r="S241" s="7">
        <v>63</v>
      </c>
      <c r="T241" s="7">
        <v>21</v>
      </c>
      <c r="U241" s="7">
        <v>21</v>
      </c>
      <c r="V241" s="7">
        <v>432</v>
      </c>
      <c r="W241" s="7">
        <v>13.96</v>
      </c>
      <c r="X241" s="7">
        <v>69000</v>
      </c>
      <c r="Y241" s="7">
        <v>101.88</v>
      </c>
      <c r="Z241" s="7">
        <v>0</v>
      </c>
      <c r="AA241" s="7">
        <v>21.43</v>
      </c>
      <c r="AB241" s="7">
        <v>2878</v>
      </c>
      <c r="AC241" s="7">
        <v>1045000</v>
      </c>
      <c r="AD241" s="7">
        <v>1045000</v>
      </c>
      <c r="AE241" s="7">
        <v>712884.96</v>
      </c>
      <c r="AF241" s="7">
        <v>862</v>
      </c>
      <c r="AG241" s="7">
        <v>676</v>
      </c>
      <c r="AH241" s="12">
        <v>862</v>
      </c>
    </row>
    <row r="242" spans="1:34" ht="21" hidden="1" x14ac:dyDescent="0.25">
      <c r="A242" s="11">
        <v>26</v>
      </c>
      <c r="B242" s="8" t="s">
        <v>13</v>
      </c>
      <c r="C242" s="7">
        <v>1238</v>
      </c>
      <c r="D242" s="8" t="s">
        <v>70</v>
      </c>
      <c r="E242" s="8" t="s">
        <v>18</v>
      </c>
      <c r="F242" s="8" t="s">
        <v>12</v>
      </c>
      <c r="G242" s="7">
        <v>40000</v>
      </c>
      <c r="H242" s="7">
        <v>15</v>
      </c>
      <c r="I242" s="7">
        <v>15</v>
      </c>
      <c r="J242" s="7">
        <v>40725.81</v>
      </c>
      <c r="K242" s="7">
        <v>30442.272987</v>
      </c>
      <c r="L242" s="7">
        <v>0</v>
      </c>
      <c r="M242" s="7">
        <v>25.25</v>
      </c>
      <c r="N242" s="7">
        <v>32.340000000000003</v>
      </c>
      <c r="O242" s="7">
        <v>1049577.82</v>
      </c>
      <c r="P242" s="7">
        <v>799787.90072599996</v>
      </c>
      <c r="Q242" s="7">
        <v>0</v>
      </c>
      <c r="R242" s="7">
        <v>23.8</v>
      </c>
      <c r="S242" s="7">
        <v>16</v>
      </c>
      <c r="T242" s="7">
        <v>21</v>
      </c>
      <c r="U242" s="7">
        <v>21</v>
      </c>
      <c r="V242" s="7">
        <v>120</v>
      </c>
      <c r="W242" s="7">
        <v>8.3000000000000007</v>
      </c>
      <c r="X242" s="7">
        <v>40000</v>
      </c>
      <c r="Y242" s="7">
        <v>0</v>
      </c>
      <c r="Z242" s="7">
        <v>0</v>
      </c>
      <c r="AA242" s="7">
        <v>24.13</v>
      </c>
      <c r="AB242" s="7">
        <v>2878</v>
      </c>
      <c r="AC242" s="7">
        <v>968000</v>
      </c>
      <c r="AD242" s="7">
        <v>968000</v>
      </c>
      <c r="AE242" s="7">
        <v>884541.65</v>
      </c>
      <c r="AF242" s="7">
        <v>711</v>
      </c>
      <c r="AG242" s="7">
        <v>607</v>
      </c>
      <c r="AH242" s="12">
        <v>711</v>
      </c>
    </row>
    <row r="243" spans="1:34" ht="21" hidden="1" x14ac:dyDescent="0.25">
      <c r="A243" s="11">
        <v>6</v>
      </c>
      <c r="B243" s="8" t="s">
        <v>142</v>
      </c>
      <c r="C243" s="7">
        <v>1241</v>
      </c>
      <c r="D243" s="8" t="s">
        <v>54</v>
      </c>
      <c r="E243" s="8" t="s">
        <v>18</v>
      </c>
      <c r="F243" s="8" t="s">
        <v>12</v>
      </c>
      <c r="G243" s="7">
        <v>90000</v>
      </c>
      <c r="H243" s="7">
        <v>80</v>
      </c>
      <c r="I243" s="7">
        <v>80</v>
      </c>
      <c r="J243" s="7">
        <v>65035.13</v>
      </c>
      <c r="K243" s="7">
        <v>47700.357918000002</v>
      </c>
      <c r="L243" s="7">
        <v>0</v>
      </c>
      <c r="M243" s="7">
        <v>26.65</v>
      </c>
      <c r="N243" s="7">
        <v>22.52</v>
      </c>
      <c r="O243" s="7">
        <v>745236.54</v>
      </c>
      <c r="P243" s="7">
        <v>557606.39015999995</v>
      </c>
      <c r="Q243" s="7">
        <v>0</v>
      </c>
      <c r="R243" s="7">
        <v>25.18</v>
      </c>
      <c r="S243" s="7">
        <v>71</v>
      </c>
      <c r="T243" s="7">
        <v>21</v>
      </c>
      <c r="U243" s="7">
        <v>21</v>
      </c>
      <c r="V243" s="7">
        <v>440</v>
      </c>
      <c r="W243" s="7">
        <v>10.51</v>
      </c>
      <c r="X243" s="7">
        <v>90000</v>
      </c>
      <c r="Y243" s="7">
        <v>68.849999999999994</v>
      </c>
      <c r="Z243" s="7">
        <v>0</v>
      </c>
      <c r="AA243" s="7">
        <v>21.43</v>
      </c>
      <c r="AB243" s="7">
        <v>2878</v>
      </c>
      <c r="AC243" s="7">
        <v>1045000</v>
      </c>
      <c r="AD243" s="7">
        <v>1045000</v>
      </c>
      <c r="AE243" s="7">
        <v>712884.96</v>
      </c>
      <c r="AF243" s="7">
        <v>862</v>
      </c>
      <c r="AG243" s="7">
        <v>676</v>
      </c>
      <c r="AH243" s="12">
        <v>862</v>
      </c>
    </row>
    <row r="244" spans="1:34" ht="21" hidden="1" x14ac:dyDescent="0.25">
      <c r="A244" s="11">
        <v>26</v>
      </c>
      <c r="B244" s="8" t="s">
        <v>13</v>
      </c>
      <c r="C244" s="7">
        <v>1265</v>
      </c>
      <c r="D244" s="8" t="s">
        <v>71</v>
      </c>
      <c r="E244" s="8" t="s">
        <v>18</v>
      </c>
      <c r="F244" s="8" t="s">
        <v>12</v>
      </c>
      <c r="G244" s="7">
        <v>140000</v>
      </c>
      <c r="H244" s="7">
        <v>125</v>
      </c>
      <c r="I244" s="7">
        <v>125</v>
      </c>
      <c r="J244" s="7">
        <v>146543.95000000001</v>
      </c>
      <c r="K244" s="7">
        <v>110354.861594</v>
      </c>
      <c r="L244" s="7">
        <v>0</v>
      </c>
      <c r="M244" s="7">
        <v>24.7</v>
      </c>
      <c r="N244" s="7">
        <v>21.46</v>
      </c>
      <c r="O244" s="7">
        <v>1049577.82</v>
      </c>
      <c r="P244" s="7">
        <v>799787.90072599996</v>
      </c>
      <c r="Q244" s="7">
        <v>0</v>
      </c>
      <c r="R244" s="7">
        <v>23.8</v>
      </c>
      <c r="S244" s="7">
        <v>125</v>
      </c>
      <c r="T244" s="7">
        <v>21</v>
      </c>
      <c r="U244" s="7">
        <v>21</v>
      </c>
      <c r="V244" s="7">
        <v>389</v>
      </c>
      <c r="W244" s="7">
        <v>7.54</v>
      </c>
      <c r="X244" s="7">
        <v>140000</v>
      </c>
      <c r="Y244" s="7">
        <v>11972.07</v>
      </c>
      <c r="Z244" s="7">
        <v>0</v>
      </c>
      <c r="AA244" s="7">
        <v>24.13</v>
      </c>
      <c r="AB244" s="7">
        <v>2878</v>
      </c>
      <c r="AC244" s="7">
        <v>968000</v>
      </c>
      <c r="AD244" s="7">
        <v>968000</v>
      </c>
      <c r="AE244" s="7">
        <v>884541.65</v>
      </c>
      <c r="AF244" s="7">
        <v>711</v>
      </c>
      <c r="AG244" s="7">
        <v>607</v>
      </c>
      <c r="AH244" s="12">
        <v>711</v>
      </c>
    </row>
    <row r="245" spans="1:34" ht="21" hidden="1" x14ac:dyDescent="0.25">
      <c r="A245" s="11">
        <v>10</v>
      </c>
      <c r="B245" s="8" t="s">
        <v>180</v>
      </c>
      <c r="C245" s="7">
        <v>1271</v>
      </c>
      <c r="D245" s="8" t="s">
        <v>72</v>
      </c>
      <c r="E245" s="8" t="s">
        <v>18</v>
      </c>
      <c r="F245" s="8" t="s">
        <v>12</v>
      </c>
      <c r="G245" s="7">
        <v>85000</v>
      </c>
      <c r="H245" s="7">
        <v>65</v>
      </c>
      <c r="I245" s="7">
        <v>65</v>
      </c>
      <c r="J245" s="7">
        <v>45962.91</v>
      </c>
      <c r="K245" s="7">
        <v>34075.464399999997</v>
      </c>
      <c r="L245" s="7">
        <v>0</v>
      </c>
      <c r="M245" s="7">
        <v>25.86</v>
      </c>
      <c r="N245" s="7">
        <v>10.89</v>
      </c>
      <c r="O245" s="7">
        <v>0</v>
      </c>
      <c r="P245" s="7">
        <v>0</v>
      </c>
      <c r="Q245" s="7">
        <v>0</v>
      </c>
      <c r="R245" s="7">
        <v>0</v>
      </c>
      <c r="S245" s="7">
        <v>65</v>
      </c>
      <c r="T245" s="7">
        <v>21</v>
      </c>
      <c r="U245" s="7">
        <v>21</v>
      </c>
      <c r="V245" s="7">
        <v>374</v>
      </c>
      <c r="W245" s="7">
        <v>8</v>
      </c>
      <c r="X245" s="7">
        <v>85000</v>
      </c>
      <c r="Y245" s="7">
        <v>3156.63</v>
      </c>
      <c r="Z245" s="7">
        <v>4</v>
      </c>
      <c r="AA245" s="7">
        <v>0</v>
      </c>
      <c r="AB245" s="7">
        <v>2878</v>
      </c>
      <c r="AC245" s="7">
        <v>631000</v>
      </c>
      <c r="AD245" s="7">
        <v>631000</v>
      </c>
      <c r="AE245" s="7">
        <v>388326.45</v>
      </c>
      <c r="AF245" s="7">
        <v>463</v>
      </c>
      <c r="AG245" s="7">
        <v>410</v>
      </c>
      <c r="AH245" s="12">
        <v>463</v>
      </c>
    </row>
    <row r="246" spans="1:34" hidden="1" x14ac:dyDescent="0.25">
      <c r="A246" s="11">
        <v>2</v>
      </c>
      <c r="B246" s="8" t="s">
        <v>10</v>
      </c>
      <c r="C246" s="7">
        <v>1280</v>
      </c>
      <c r="D246" s="8" t="s">
        <v>73</v>
      </c>
      <c r="E246" s="8" t="s">
        <v>18</v>
      </c>
      <c r="F246" s="8" t="s">
        <v>12</v>
      </c>
      <c r="G246" s="7">
        <v>90000</v>
      </c>
      <c r="H246" s="7">
        <v>60</v>
      </c>
      <c r="I246" s="7">
        <v>60</v>
      </c>
      <c r="J246" s="7">
        <v>50596.43</v>
      </c>
      <c r="K246" s="7">
        <v>37768.937999000002</v>
      </c>
      <c r="L246" s="7">
        <v>0</v>
      </c>
      <c r="M246" s="7">
        <v>25.35</v>
      </c>
      <c r="N246" s="7">
        <v>19.21</v>
      </c>
      <c r="O246" s="7">
        <v>846001.61</v>
      </c>
      <c r="P246" s="7">
        <v>637404.95297400001</v>
      </c>
      <c r="Q246" s="7">
        <v>0</v>
      </c>
      <c r="R246" s="7">
        <v>24.66</v>
      </c>
      <c r="S246" s="7">
        <v>21</v>
      </c>
      <c r="T246" s="7">
        <v>21</v>
      </c>
      <c r="U246" s="7">
        <v>21</v>
      </c>
      <c r="V246" s="7">
        <v>471</v>
      </c>
      <c r="W246" s="7">
        <v>17.260000000000002</v>
      </c>
      <c r="X246" s="7">
        <v>90000</v>
      </c>
      <c r="Y246" s="7">
        <v>219.5</v>
      </c>
      <c r="Z246" s="7">
        <v>1</v>
      </c>
      <c r="AA246" s="7">
        <v>21.03</v>
      </c>
      <c r="AB246" s="7">
        <v>2878</v>
      </c>
      <c r="AC246" s="7">
        <v>1279000</v>
      </c>
      <c r="AD246" s="7">
        <v>1279000</v>
      </c>
      <c r="AE246" s="7">
        <v>817160.5</v>
      </c>
      <c r="AF246" s="7">
        <v>815</v>
      </c>
      <c r="AG246" s="7">
        <v>491</v>
      </c>
      <c r="AH246" s="12">
        <v>815</v>
      </c>
    </row>
    <row r="247" spans="1:34" ht="21" hidden="1" x14ac:dyDescent="0.25">
      <c r="A247" s="11">
        <v>17</v>
      </c>
      <c r="B247" s="8" t="s">
        <v>16</v>
      </c>
      <c r="C247" s="7">
        <v>1292</v>
      </c>
      <c r="D247" s="8" t="s">
        <v>74</v>
      </c>
      <c r="E247" s="8" t="s">
        <v>18</v>
      </c>
      <c r="F247" s="8" t="s">
        <v>12</v>
      </c>
      <c r="G247" s="7">
        <v>100000</v>
      </c>
      <c r="H247" s="7">
        <v>55</v>
      </c>
      <c r="I247" s="7">
        <v>55</v>
      </c>
      <c r="J247" s="7">
        <v>100192.93</v>
      </c>
      <c r="K247" s="7">
        <v>70645.421568000005</v>
      </c>
      <c r="L247" s="7">
        <v>0</v>
      </c>
      <c r="M247" s="7">
        <v>29.49</v>
      </c>
      <c r="N247" s="7">
        <v>24.15</v>
      </c>
      <c r="O247" s="7">
        <v>373950.57</v>
      </c>
      <c r="P247" s="7">
        <v>266591.70954100002</v>
      </c>
      <c r="Q247" s="7">
        <v>0</v>
      </c>
      <c r="R247" s="7">
        <v>28.71</v>
      </c>
      <c r="S247" s="7">
        <v>50</v>
      </c>
      <c r="T247" s="7">
        <v>21</v>
      </c>
      <c r="U247" s="7">
        <v>21</v>
      </c>
      <c r="V247" s="7">
        <v>493</v>
      </c>
      <c r="W247" s="7">
        <v>13.85</v>
      </c>
      <c r="X247" s="7">
        <v>100000</v>
      </c>
      <c r="Y247" s="7">
        <v>437.24</v>
      </c>
      <c r="Z247" s="7">
        <v>1</v>
      </c>
      <c r="AA247" s="7">
        <v>26</v>
      </c>
      <c r="AB247" s="7">
        <v>2878</v>
      </c>
      <c r="AC247" s="7">
        <v>615000</v>
      </c>
      <c r="AD247" s="7">
        <v>615000</v>
      </c>
      <c r="AE247" s="7">
        <v>383607.4</v>
      </c>
      <c r="AF247" s="7">
        <v>340</v>
      </c>
      <c r="AG247" s="7">
        <v>175</v>
      </c>
      <c r="AH247" s="12">
        <v>340</v>
      </c>
    </row>
    <row r="248" spans="1:34" ht="21" hidden="1" x14ac:dyDescent="0.25">
      <c r="A248" s="11">
        <v>12</v>
      </c>
      <c r="B248" s="8" t="s">
        <v>14</v>
      </c>
      <c r="C248" s="7">
        <v>1330</v>
      </c>
      <c r="D248" s="8" t="s">
        <v>45</v>
      </c>
      <c r="E248" s="8" t="s">
        <v>18</v>
      </c>
      <c r="F248" s="8" t="s">
        <v>12</v>
      </c>
      <c r="G248" s="7">
        <v>60000</v>
      </c>
      <c r="H248" s="7">
        <v>70</v>
      </c>
      <c r="I248" s="7">
        <v>70</v>
      </c>
      <c r="J248" s="7">
        <v>19093.669999999998</v>
      </c>
      <c r="K248" s="7">
        <v>14866.590043</v>
      </c>
      <c r="L248" s="7">
        <v>0</v>
      </c>
      <c r="M248" s="7">
        <v>22.14</v>
      </c>
      <c r="N248" s="7">
        <v>11.97</v>
      </c>
      <c r="O248" s="7">
        <v>341385.34</v>
      </c>
      <c r="P248" s="7">
        <v>256949.644531</v>
      </c>
      <c r="Q248" s="7">
        <v>0</v>
      </c>
      <c r="R248" s="7">
        <v>24.73</v>
      </c>
      <c r="S248" s="7">
        <v>40</v>
      </c>
      <c r="T248" s="7">
        <v>21</v>
      </c>
      <c r="U248" s="7">
        <v>21</v>
      </c>
      <c r="V248" s="7">
        <v>126</v>
      </c>
      <c r="W248" s="7">
        <v>6.28</v>
      </c>
      <c r="X248" s="7">
        <v>60000</v>
      </c>
      <c r="Y248" s="7">
        <v>0</v>
      </c>
      <c r="Z248" s="7">
        <v>0</v>
      </c>
      <c r="AA248" s="7">
        <v>29.95</v>
      </c>
      <c r="AB248" s="7">
        <v>2878</v>
      </c>
      <c r="AC248" s="7">
        <v>665000</v>
      </c>
      <c r="AD248" s="7">
        <v>665000</v>
      </c>
      <c r="AE248" s="7">
        <v>304209.8</v>
      </c>
      <c r="AF248" s="7">
        <v>750</v>
      </c>
      <c r="AG248" s="7">
        <v>397</v>
      </c>
      <c r="AH248" s="12">
        <v>750</v>
      </c>
    </row>
    <row r="249" spans="1:34" ht="21" hidden="1" x14ac:dyDescent="0.25">
      <c r="A249" s="11">
        <v>26</v>
      </c>
      <c r="B249" s="8" t="s">
        <v>13</v>
      </c>
      <c r="C249" s="7">
        <v>1336</v>
      </c>
      <c r="D249" s="8" t="s">
        <v>75</v>
      </c>
      <c r="E249" s="8" t="s">
        <v>18</v>
      </c>
      <c r="F249" s="8" t="s">
        <v>12</v>
      </c>
      <c r="G249" s="7">
        <v>55000</v>
      </c>
      <c r="H249" s="7">
        <v>57</v>
      </c>
      <c r="I249" s="7">
        <v>57</v>
      </c>
      <c r="J249" s="7">
        <v>45422</v>
      </c>
      <c r="K249" s="7">
        <v>32652.591628999999</v>
      </c>
      <c r="L249" s="7">
        <v>0</v>
      </c>
      <c r="M249" s="7">
        <v>28.11</v>
      </c>
      <c r="N249" s="7">
        <v>20.02</v>
      </c>
      <c r="O249" s="7">
        <v>1049577.82</v>
      </c>
      <c r="P249" s="7">
        <v>799787.90072599996</v>
      </c>
      <c r="Q249" s="7">
        <v>0</v>
      </c>
      <c r="R249" s="7">
        <v>23.8</v>
      </c>
      <c r="S249" s="7">
        <v>39</v>
      </c>
      <c r="T249" s="7">
        <v>21</v>
      </c>
      <c r="U249" s="7">
        <v>21</v>
      </c>
      <c r="V249" s="7">
        <v>264</v>
      </c>
      <c r="W249" s="7">
        <v>12.09</v>
      </c>
      <c r="X249" s="7">
        <v>55000</v>
      </c>
      <c r="Y249" s="7">
        <v>13139.69</v>
      </c>
      <c r="Z249" s="7">
        <v>0</v>
      </c>
      <c r="AA249" s="7">
        <v>24.13</v>
      </c>
      <c r="AB249" s="7">
        <v>2878</v>
      </c>
      <c r="AC249" s="7">
        <v>968000</v>
      </c>
      <c r="AD249" s="7">
        <v>968000</v>
      </c>
      <c r="AE249" s="7">
        <v>884541.65</v>
      </c>
      <c r="AF249" s="7">
        <v>711</v>
      </c>
      <c r="AG249" s="7">
        <v>607</v>
      </c>
      <c r="AH249" s="12">
        <v>711</v>
      </c>
    </row>
    <row r="250" spans="1:34" ht="21" hidden="1" x14ac:dyDescent="0.25">
      <c r="A250" s="11">
        <v>6</v>
      </c>
      <c r="B250" s="8" t="s">
        <v>142</v>
      </c>
      <c r="C250" s="7">
        <v>1337</v>
      </c>
      <c r="D250" s="8" t="s">
        <v>128</v>
      </c>
      <c r="E250" s="8" t="s">
        <v>18</v>
      </c>
      <c r="F250" s="8" t="s">
        <v>12</v>
      </c>
      <c r="G250" s="7">
        <v>65000</v>
      </c>
      <c r="H250" s="7">
        <v>61</v>
      </c>
      <c r="I250" s="7">
        <v>61</v>
      </c>
      <c r="J250" s="7">
        <v>42367.66</v>
      </c>
      <c r="K250" s="7">
        <v>31717.836693000001</v>
      </c>
      <c r="L250" s="7">
        <v>0</v>
      </c>
      <c r="M250" s="7">
        <v>25.14</v>
      </c>
      <c r="N250" s="7">
        <v>16.010000000000002</v>
      </c>
      <c r="O250" s="7">
        <v>745236.54</v>
      </c>
      <c r="P250" s="7">
        <v>557606.39015999995</v>
      </c>
      <c r="Q250" s="7">
        <v>0</v>
      </c>
      <c r="R250" s="7">
        <v>25.18</v>
      </c>
      <c r="S250" s="7">
        <v>49</v>
      </c>
      <c r="T250" s="7">
        <v>21</v>
      </c>
      <c r="U250" s="7">
        <v>21</v>
      </c>
      <c r="V250" s="7">
        <v>220</v>
      </c>
      <c r="W250" s="7">
        <v>10.98</v>
      </c>
      <c r="X250" s="7">
        <v>65000</v>
      </c>
      <c r="Y250" s="7">
        <v>70.05</v>
      </c>
      <c r="Z250" s="7">
        <v>2</v>
      </c>
      <c r="AA250" s="7">
        <v>21.43</v>
      </c>
      <c r="AB250" s="7">
        <v>2878</v>
      </c>
      <c r="AC250" s="7">
        <v>1045000</v>
      </c>
      <c r="AD250" s="7">
        <v>1045000</v>
      </c>
      <c r="AE250" s="7">
        <v>712884.96</v>
      </c>
      <c r="AF250" s="7">
        <v>862</v>
      </c>
      <c r="AG250" s="7">
        <v>676</v>
      </c>
      <c r="AH250" s="12">
        <v>862</v>
      </c>
    </row>
    <row r="251" spans="1:34" ht="21" hidden="1" x14ac:dyDescent="0.25">
      <c r="A251" s="11">
        <v>17</v>
      </c>
      <c r="B251" s="8" t="s">
        <v>16</v>
      </c>
      <c r="C251" s="7">
        <v>1343</v>
      </c>
      <c r="D251" s="8" t="s">
        <v>76</v>
      </c>
      <c r="E251" s="8" t="s">
        <v>18</v>
      </c>
      <c r="F251" s="8" t="s">
        <v>12</v>
      </c>
      <c r="G251" s="7">
        <v>45000</v>
      </c>
      <c r="H251" s="7">
        <v>1</v>
      </c>
      <c r="I251" s="7">
        <v>1</v>
      </c>
      <c r="J251" s="7">
        <v>21611.52</v>
      </c>
      <c r="K251" s="7">
        <v>14685.520463000001</v>
      </c>
      <c r="L251" s="7">
        <v>0</v>
      </c>
      <c r="M251" s="7">
        <v>32.049999999999997</v>
      </c>
      <c r="N251" s="7">
        <v>30.02</v>
      </c>
      <c r="O251" s="7">
        <v>373950.57</v>
      </c>
      <c r="P251" s="7">
        <v>266591.70954100002</v>
      </c>
      <c r="Q251" s="7">
        <v>0</v>
      </c>
      <c r="R251" s="7">
        <v>28.71</v>
      </c>
      <c r="S251" s="7">
        <v>2</v>
      </c>
      <c r="T251" s="7">
        <v>21</v>
      </c>
      <c r="U251" s="7">
        <v>21</v>
      </c>
      <c r="V251" s="7">
        <v>270</v>
      </c>
      <c r="W251" s="7">
        <v>48.33</v>
      </c>
      <c r="X251" s="7">
        <v>45000</v>
      </c>
      <c r="Y251" s="7">
        <v>97.2</v>
      </c>
      <c r="Z251" s="7">
        <v>0</v>
      </c>
      <c r="AA251" s="7">
        <v>26</v>
      </c>
      <c r="AB251" s="7">
        <v>2878</v>
      </c>
      <c r="AC251" s="7">
        <v>615000</v>
      </c>
      <c r="AD251" s="7">
        <v>615000</v>
      </c>
      <c r="AE251" s="7">
        <v>383607.4</v>
      </c>
      <c r="AF251" s="7">
        <v>340</v>
      </c>
      <c r="AG251" s="7">
        <v>175</v>
      </c>
      <c r="AH251" s="12">
        <v>340</v>
      </c>
    </row>
    <row r="252" spans="1:34" ht="21" hidden="1" x14ac:dyDescent="0.25">
      <c r="A252" s="11">
        <v>10</v>
      </c>
      <c r="B252" s="8" t="s">
        <v>180</v>
      </c>
      <c r="C252" s="7">
        <v>1359</v>
      </c>
      <c r="D252" s="8" t="s">
        <v>77</v>
      </c>
      <c r="E252" s="8" t="s">
        <v>18</v>
      </c>
      <c r="F252" s="8" t="s">
        <v>12</v>
      </c>
      <c r="G252" s="7">
        <v>80000</v>
      </c>
      <c r="H252" s="7">
        <v>50</v>
      </c>
      <c r="I252" s="7">
        <v>50</v>
      </c>
      <c r="J252" s="7">
        <v>37405.230000000003</v>
      </c>
      <c r="K252" s="7">
        <v>27977.849025</v>
      </c>
      <c r="L252" s="7">
        <v>0</v>
      </c>
      <c r="M252" s="7">
        <v>25.2</v>
      </c>
      <c r="N252" s="7">
        <v>25.34</v>
      </c>
      <c r="O252" s="7">
        <v>0</v>
      </c>
      <c r="P252" s="7">
        <v>0</v>
      </c>
      <c r="Q252" s="7">
        <v>0</v>
      </c>
      <c r="R252" s="7">
        <v>0</v>
      </c>
      <c r="S252" s="7">
        <v>30</v>
      </c>
      <c r="T252" s="7">
        <v>21</v>
      </c>
      <c r="U252" s="7">
        <v>21</v>
      </c>
      <c r="V252" s="7">
        <v>215</v>
      </c>
      <c r="W252" s="7">
        <v>11.19</v>
      </c>
      <c r="X252" s="7">
        <v>80000</v>
      </c>
      <c r="Y252" s="7">
        <v>180.16</v>
      </c>
      <c r="Z252" s="7">
        <v>0</v>
      </c>
      <c r="AA252" s="7">
        <v>0</v>
      </c>
      <c r="AB252" s="7">
        <v>2878</v>
      </c>
      <c r="AC252" s="7">
        <v>631000</v>
      </c>
      <c r="AD252" s="7">
        <v>631000</v>
      </c>
      <c r="AE252" s="7">
        <v>388326.45</v>
      </c>
      <c r="AF252" s="7">
        <v>463</v>
      </c>
      <c r="AG252" s="7">
        <v>410</v>
      </c>
      <c r="AH252" s="12">
        <v>463</v>
      </c>
    </row>
    <row r="253" spans="1:34" ht="21" hidden="1" x14ac:dyDescent="0.25">
      <c r="A253" s="11">
        <v>6</v>
      </c>
      <c r="B253" s="8" t="s">
        <v>142</v>
      </c>
      <c r="C253" s="7">
        <v>1385</v>
      </c>
      <c r="D253" s="8" t="s">
        <v>78</v>
      </c>
      <c r="E253" s="8" t="s">
        <v>18</v>
      </c>
      <c r="F253" s="8" t="s">
        <v>12</v>
      </c>
      <c r="G253" s="7">
        <v>78000</v>
      </c>
      <c r="H253" s="7">
        <v>77</v>
      </c>
      <c r="I253" s="7">
        <v>77</v>
      </c>
      <c r="J253" s="7">
        <v>58421.79</v>
      </c>
      <c r="K253" s="7">
        <v>44196.641439999999</v>
      </c>
      <c r="L253" s="7">
        <v>0</v>
      </c>
      <c r="M253" s="7">
        <v>24.35</v>
      </c>
      <c r="N253" s="7">
        <v>17.510000000000002</v>
      </c>
      <c r="O253" s="7">
        <v>745236.54</v>
      </c>
      <c r="P253" s="7">
        <v>557606.39015999995</v>
      </c>
      <c r="Q253" s="7">
        <v>0</v>
      </c>
      <c r="R253" s="7">
        <v>25.18</v>
      </c>
      <c r="S253" s="7">
        <v>70</v>
      </c>
      <c r="T253" s="7">
        <v>21</v>
      </c>
      <c r="U253" s="7">
        <v>21</v>
      </c>
      <c r="V253" s="7">
        <v>445</v>
      </c>
      <c r="W253" s="7">
        <v>13.74</v>
      </c>
      <c r="X253" s="7">
        <v>78000</v>
      </c>
      <c r="Y253" s="7">
        <v>183.98</v>
      </c>
      <c r="Z253" s="7">
        <v>2</v>
      </c>
      <c r="AA253" s="7">
        <v>21.43</v>
      </c>
      <c r="AB253" s="7">
        <v>2878</v>
      </c>
      <c r="AC253" s="7">
        <v>1045000</v>
      </c>
      <c r="AD253" s="7">
        <v>1045000</v>
      </c>
      <c r="AE253" s="7">
        <v>712884.96</v>
      </c>
      <c r="AF253" s="7">
        <v>862</v>
      </c>
      <c r="AG253" s="7">
        <v>676</v>
      </c>
      <c r="AH253" s="12">
        <v>862</v>
      </c>
    </row>
    <row r="254" spans="1:34" ht="21" hidden="1" x14ac:dyDescent="0.25">
      <c r="A254" s="11">
        <v>20</v>
      </c>
      <c r="B254" s="8" t="s">
        <v>30</v>
      </c>
      <c r="C254" s="7">
        <v>1387</v>
      </c>
      <c r="D254" s="8" t="s">
        <v>79</v>
      </c>
      <c r="E254" s="8" t="s">
        <v>18</v>
      </c>
      <c r="F254" s="8" t="s">
        <v>12</v>
      </c>
      <c r="G254" s="7">
        <v>55000</v>
      </c>
      <c r="H254" s="7">
        <v>40</v>
      </c>
      <c r="I254" s="7">
        <v>40</v>
      </c>
      <c r="J254" s="7">
        <v>22482.38</v>
      </c>
      <c r="K254" s="7">
        <v>17826.678429</v>
      </c>
      <c r="L254" s="7">
        <v>0</v>
      </c>
      <c r="M254" s="7">
        <v>20.71</v>
      </c>
      <c r="N254" s="7">
        <v>47.33</v>
      </c>
      <c r="O254" s="7">
        <v>419999.02</v>
      </c>
      <c r="P254" s="7">
        <v>316673.86645799997</v>
      </c>
      <c r="Q254" s="7">
        <v>0</v>
      </c>
      <c r="R254" s="7">
        <v>24.6</v>
      </c>
      <c r="S254" s="7">
        <v>12</v>
      </c>
      <c r="T254" s="7">
        <v>21</v>
      </c>
      <c r="U254" s="7">
        <v>21</v>
      </c>
      <c r="V254" s="7">
        <v>84</v>
      </c>
      <c r="W254" s="7">
        <v>4.68</v>
      </c>
      <c r="X254" s="7">
        <v>55000</v>
      </c>
      <c r="Y254" s="7">
        <v>0</v>
      </c>
      <c r="Z254" s="7">
        <v>0</v>
      </c>
      <c r="AA254" s="7">
        <v>33.020000000000003</v>
      </c>
      <c r="AB254" s="7">
        <v>2878</v>
      </c>
      <c r="AC254" s="7">
        <v>307000</v>
      </c>
      <c r="AD254" s="7">
        <v>307000</v>
      </c>
      <c r="AE254" s="7">
        <v>161835.67000000001</v>
      </c>
      <c r="AF254" s="7">
        <v>260</v>
      </c>
      <c r="AG254" s="7">
        <v>111</v>
      </c>
      <c r="AH254" s="12">
        <v>260</v>
      </c>
    </row>
    <row r="255" spans="1:34" ht="21" hidden="1" x14ac:dyDescent="0.25">
      <c r="A255" s="11">
        <v>12</v>
      </c>
      <c r="B255" s="8" t="s">
        <v>14</v>
      </c>
      <c r="C255" s="7">
        <v>1390</v>
      </c>
      <c r="D255" s="8" t="s">
        <v>80</v>
      </c>
      <c r="E255" s="8" t="s">
        <v>18</v>
      </c>
      <c r="F255" s="8" t="s">
        <v>12</v>
      </c>
      <c r="G255" s="7">
        <v>60000</v>
      </c>
      <c r="H255" s="7">
        <v>60</v>
      </c>
      <c r="I255" s="7">
        <v>60</v>
      </c>
      <c r="J255" s="7">
        <v>12039.2</v>
      </c>
      <c r="K255" s="7">
        <v>9356.8512699999992</v>
      </c>
      <c r="L255" s="7">
        <v>0</v>
      </c>
      <c r="M255" s="7">
        <v>22.28</v>
      </c>
      <c r="N255" s="7">
        <v>16.28</v>
      </c>
      <c r="O255" s="7">
        <v>341385.34</v>
      </c>
      <c r="P255" s="7">
        <v>256949.644531</v>
      </c>
      <c r="Q255" s="7">
        <v>0</v>
      </c>
      <c r="R255" s="7">
        <v>24.73</v>
      </c>
      <c r="S255" s="7">
        <v>21</v>
      </c>
      <c r="T255" s="7">
        <v>21</v>
      </c>
      <c r="U255" s="7">
        <v>21</v>
      </c>
      <c r="V255" s="7">
        <v>125</v>
      </c>
      <c r="W255" s="7">
        <v>9.75</v>
      </c>
      <c r="X255" s="7">
        <v>60000</v>
      </c>
      <c r="Y255" s="7">
        <v>208.8</v>
      </c>
      <c r="Z255" s="7">
        <v>0</v>
      </c>
      <c r="AA255" s="7">
        <v>29.95</v>
      </c>
      <c r="AB255" s="7">
        <v>2878</v>
      </c>
      <c r="AC255" s="7">
        <v>665000</v>
      </c>
      <c r="AD255" s="7">
        <v>665000</v>
      </c>
      <c r="AE255" s="7">
        <v>304209.8</v>
      </c>
      <c r="AF255" s="7">
        <v>750</v>
      </c>
      <c r="AG255" s="7">
        <v>397</v>
      </c>
      <c r="AH255" s="12">
        <v>750</v>
      </c>
    </row>
    <row r="256" spans="1:34" ht="21" hidden="1" x14ac:dyDescent="0.25">
      <c r="A256" s="11">
        <v>26</v>
      </c>
      <c r="B256" s="8" t="s">
        <v>13</v>
      </c>
      <c r="C256" s="7">
        <v>1394</v>
      </c>
      <c r="D256" s="8" t="s">
        <v>81</v>
      </c>
      <c r="E256" s="8" t="s">
        <v>18</v>
      </c>
      <c r="F256" s="8" t="s">
        <v>12</v>
      </c>
      <c r="G256" s="7">
        <v>52000</v>
      </c>
      <c r="H256" s="7">
        <v>55</v>
      </c>
      <c r="I256" s="7">
        <v>55</v>
      </c>
      <c r="J256" s="7">
        <v>41593.83</v>
      </c>
      <c r="K256" s="7">
        <v>31746.767792999999</v>
      </c>
      <c r="L256" s="7">
        <v>0</v>
      </c>
      <c r="M256" s="7">
        <v>23.67</v>
      </c>
      <c r="N256" s="7">
        <v>19.84</v>
      </c>
      <c r="O256" s="7">
        <v>1049577.82</v>
      </c>
      <c r="P256" s="7">
        <v>799787.90072599996</v>
      </c>
      <c r="Q256" s="7">
        <v>0</v>
      </c>
      <c r="R256" s="7">
        <v>23.8</v>
      </c>
      <c r="S256" s="7">
        <v>56</v>
      </c>
      <c r="T256" s="7">
        <v>21</v>
      </c>
      <c r="U256" s="7">
        <v>21</v>
      </c>
      <c r="V256" s="7">
        <v>230</v>
      </c>
      <c r="W256" s="7">
        <v>7.37</v>
      </c>
      <c r="X256" s="7">
        <v>52000</v>
      </c>
      <c r="Y256" s="7">
        <v>176.46</v>
      </c>
      <c r="Z256" s="7">
        <v>0</v>
      </c>
      <c r="AA256" s="7">
        <v>24.13</v>
      </c>
      <c r="AB256" s="7">
        <v>2878</v>
      </c>
      <c r="AC256" s="7">
        <v>968000</v>
      </c>
      <c r="AD256" s="7">
        <v>968000</v>
      </c>
      <c r="AE256" s="7">
        <v>884541.65</v>
      </c>
      <c r="AF256" s="7">
        <v>711</v>
      </c>
      <c r="AG256" s="7">
        <v>607</v>
      </c>
      <c r="AH256" s="12">
        <v>711</v>
      </c>
    </row>
    <row r="257" spans="1:34" ht="21" hidden="1" x14ac:dyDescent="0.25">
      <c r="A257" s="11">
        <v>12</v>
      </c>
      <c r="B257" s="8" t="s">
        <v>14</v>
      </c>
      <c r="C257" s="7">
        <v>1402</v>
      </c>
      <c r="D257" s="8" t="s">
        <v>82</v>
      </c>
      <c r="E257" s="8" t="s">
        <v>18</v>
      </c>
      <c r="F257" s="8" t="s">
        <v>12</v>
      </c>
      <c r="G257" s="7">
        <v>52000</v>
      </c>
      <c r="H257" s="7">
        <v>60</v>
      </c>
      <c r="I257" s="7">
        <v>60</v>
      </c>
      <c r="J257" s="7">
        <v>57547.34</v>
      </c>
      <c r="K257" s="7">
        <v>41473.484848</v>
      </c>
      <c r="L257" s="7">
        <v>0</v>
      </c>
      <c r="M257" s="7">
        <v>27.93</v>
      </c>
      <c r="N257" s="7">
        <v>20.95</v>
      </c>
      <c r="O257" s="7">
        <v>341385.34</v>
      </c>
      <c r="P257" s="7">
        <v>256949.644531</v>
      </c>
      <c r="Q257" s="7">
        <v>0</v>
      </c>
      <c r="R257" s="7">
        <v>24.73</v>
      </c>
      <c r="S257" s="7">
        <v>44</v>
      </c>
      <c r="T257" s="7">
        <v>21</v>
      </c>
      <c r="U257" s="7">
        <v>21</v>
      </c>
      <c r="V257" s="7">
        <v>304</v>
      </c>
      <c r="W257" s="7">
        <v>9.41</v>
      </c>
      <c r="X257" s="7">
        <v>52000</v>
      </c>
      <c r="Y257" s="7">
        <v>3380.01</v>
      </c>
      <c r="Z257" s="7">
        <v>5</v>
      </c>
      <c r="AA257" s="7">
        <v>29.95</v>
      </c>
      <c r="AB257" s="7">
        <v>2878</v>
      </c>
      <c r="AC257" s="7">
        <v>665000</v>
      </c>
      <c r="AD257" s="7">
        <v>665000</v>
      </c>
      <c r="AE257" s="7">
        <v>304209.8</v>
      </c>
      <c r="AF257" s="7">
        <v>750</v>
      </c>
      <c r="AG257" s="7">
        <v>397</v>
      </c>
      <c r="AH257" s="12">
        <v>750</v>
      </c>
    </row>
    <row r="258" spans="1:34" ht="21" hidden="1" x14ac:dyDescent="0.25">
      <c r="A258" s="11">
        <v>5</v>
      </c>
      <c r="B258" s="8" t="s">
        <v>143</v>
      </c>
      <c r="C258" s="7">
        <v>1404</v>
      </c>
      <c r="D258" s="8" t="s">
        <v>120</v>
      </c>
      <c r="E258" s="8" t="s">
        <v>18</v>
      </c>
      <c r="F258" s="8" t="s">
        <v>12</v>
      </c>
      <c r="G258" s="7">
        <v>30000</v>
      </c>
      <c r="H258" s="7">
        <v>30</v>
      </c>
      <c r="I258" s="7">
        <v>30</v>
      </c>
      <c r="J258" s="7">
        <v>2846.32</v>
      </c>
      <c r="K258" s="7">
        <v>2183.7075530000002</v>
      </c>
      <c r="L258" s="7">
        <v>0</v>
      </c>
      <c r="M258" s="7">
        <v>23.28</v>
      </c>
      <c r="N258" s="7">
        <v>13.1</v>
      </c>
      <c r="O258" s="7">
        <v>262785.44</v>
      </c>
      <c r="P258" s="7">
        <v>201080.285252</v>
      </c>
      <c r="Q258" s="7">
        <v>0</v>
      </c>
      <c r="R258" s="7">
        <v>23.48</v>
      </c>
      <c r="S258" s="7">
        <v>4</v>
      </c>
      <c r="T258" s="7">
        <v>21</v>
      </c>
      <c r="U258" s="7">
        <v>21</v>
      </c>
      <c r="V258" s="7">
        <v>61</v>
      </c>
      <c r="W258" s="7">
        <v>13</v>
      </c>
      <c r="X258" s="7">
        <v>30000</v>
      </c>
      <c r="Y258" s="7">
        <v>0</v>
      </c>
      <c r="Z258" s="7">
        <v>0</v>
      </c>
      <c r="AA258" s="7">
        <v>24.18</v>
      </c>
      <c r="AB258" s="7">
        <v>2878</v>
      </c>
      <c r="AC258" s="7">
        <v>450000</v>
      </c>
      <c r="AD258" s="7">
        <v>450000</v>
      </c>
      <c r="AE258" s="7">
        <v>299960.98</v>
      </c>
      <c r="AF258" s="7">
        <v>200</v>
      </c>
      <c r="AG258" s="7">
        <v>100</v>
      </c>
      <c r="AH258" s="12">
        <v>200</v>
      </c>
    </row>
    <row r="259" spans="1:34" ht="31.5" hidden="1" x14ac:dyDescent="0.25">
      <c r="A259" s="11">
        <v>14</v>
      </c>
      <c r="B259" s="8" t="s">
        <v>31</v>
      </c>
      <c r="C259" s="7">
        <v>1413</v>
      </c>
      <c r="D259" s="8" t="s">
        <v>83</v>
      </c>
      <c r="E259" s="8" t="s">
        <v>18</v>
      </c>
      <c r="F259" s="8" t="s">
        <v>12</v>
      </c>
      <c r="G259" s="7">
        <v>45000</v>
      </c>
      <c r="H259" s="7">
        <v>40</v>
      </c>
      <c r="I259" s="7">
        <v>40</v>
      </c>
      <c r="J259" s="7">
        <v>4829.8900000000003</v>
      </c>
      <c r="K259" s="7">
        <v>3847.9532330000002</v>
      </c>
      <c r="L259" s="7">
        <v>0</v>
      </c>
      <c r="M259" s="7">
        <v>20.329999999999998</v>
      </c>
      <c r="N259" s="7">
        <v>40.22</v>
      </c>
      <c r="O259" s="7">
        <v>83546.679999999993</v>
      </c>
      <c r="P259" s="7">
        <v>58998.128599999996</v>
      </c>
      <c r="Q259" s="7">
        <v>0</v>
      </c>
      <c r="R259" s="7">
        <v>29.38</v>
      </c>
      <c r="S259" s="7">
        <v>4</v>
      </c>
      <c r="T259" s="7">
        <v>21</v>
      </c>
      <c r="U259" s="7">
        <v>21</v>
      </c>
      <c r="V259" s="7">
        <v>40</v>
      </c>
      <c r="W259" s="7">
        <v>4.5</v>
      </c>
      <c r="X259" s="7">
        <v>45000</v>
      </c>
      <c r="Y259" s="7">
        <v>0</v>
      </c>
      <c r="Z259" s="7">
        <v>0</v>
      </c>
      <c r="AA259" s="7">
        <v>35.1</v>
      </c>
      <c r="AB259" s="7">
        <v>2878</v>
      </c>
      <c r="AC259" s="7">
        <v>45000</v>
      </c>
      <c r="AD259" s="7">
        <v>45000</v>
      </c>
      <c r="AE259" s="7">
        <v>7582.29</v>
      </c>
      <c r="AF259" s="7">
        <v>40</v>
      </c>
      <c r="AG259" s="7">
        <v>7</v>
      </c>
      <c r="AH259" s="12">
        <v>40</v>
      </c>
    </row>
    <row r="260" spans="1:34" ht="21" hidden="1" x14ac:dyDescent="0.25">
      <c r="A260" s="11">
        <v>17</v>
      </c>
      <c r="B260" s="8" t="s">
        <v>16</v>
      </c>
      <c r="C260" s="7">
        <v>1431</v>
      </c>
      <c r="D260" s="8" t="s">
        <v>49</v>
      </c>
      <c r="E260" s="8" t="s">
        <v>18</v>
      </c>
      <c r="F260" s="8" t="s">
        <v>12</v>
      </c>
      <c r="G260" s="7">
        <v>45000</v>
      </c>
      <c r="H260" s="7">
        <v>15</v>
      </c>
      <c r="I260" s="7">
        <v>15</v>
      </c>
      <c r="J260" s="7">
        <v>8613.6200000000008</v>
      </c>
      <c r="K260" s="7">
        <v>6926.8991880000003</v>
      </c>
      <c r="L260" s="7">
        <v>0</v>
      </c>
      <c r="M260" s="7">
        <v>19.579999999999998</v>
      </c>
      <c r="N260" s="7">
        <v>24.09</v>
      </c>
      <c r="O260" s="7">
        <v>373950.57</v>
      </c>
      <c r="P260" s="7">
        <v>266591.70954100002</v>
      </c>
      <c r="Q260" s="7">
        <v>0</v>
      </c>
      <c r="R260" s="7">
        <v>28.71</v>
      </c>
      <c r="S260" s="7">
        <v>4</v>
      </c>
      <c r="T260" s="7">
        <v>21</v>
      </c>
      <c r="U260" s="7">
        <v>21</v>
      </c>
      <c r="V260" s="7">
        <v>73</v>
      </c>
      <c r="W260" s="7">
        <v>6.29</v>
      </c>
      <c r="X260" s="7">
        <v>45000</v>
      </c>
      <c r="Y260" s="7">
        <v>0</v>
      </c>
      <c r="Z260" s="7">
        <v>2</v>
      </c>
      <c r="AA260" s="7">
        <v>26</v>
      </c>
      <c r="AB260" s="7">
        <v>2878</v>
      </c>
      <c r="AC260" s="7">
        <v>615000</v>
      </c>
      <c r="AD260" s="7">
        <v>615000</v>
      </c>
      <c r="AE260" s="7">
        <v>383607.4</v>
      </c>
      <c r="AF260" s="7">
        <v>340</v>
      </c>
      <c r="AG260" s="7">
        <v>175</v>
      </c>
      <c r="AH260" s="12">
        <v>340</v>
      </c>
    </row>
    <row r="261" spans="1:34" ht="21" hidden="1" x14ac:dyDescent="0.25">
      <c r="A261" s="11">
        <v>17</v>
      </c>
      <c r="B261" s="8" t="s">
        <v>16</v>
      </c>
      <c r="C261" s="7">
        <v>1437</v>
      </c>
      <c r="D261" s="8" t="s">
        <v>85</v>
      </c>
      <c r="E261" s="8" t="s">
        <v>18</v>
      </c>
      <c r="F261" s="8" t="s">
        <v>12</v>
      </c>
      <c r="G261" s="7">
        <v>95000</v>
      </c>
      <c r="H261" s="7">
        <v>54</v>
      </c>
      <c r="I261" s="7">
        <v>54</v>
      </c>
      <c r="J261" s="7">
        <v>39232.54</v>
      </c>
      <c r="K261" s="7">
        <v>28523.568722</v>
      </c>
      <c r="L261" s="7">
        <v>0</v>
      </c>
      <c r="M261" s="7">
        <v>27.3</v>
      </c>
      <c r="N261" s="7">
        <v>25.77</v>
      </c>
      <c r="O261" s="7">
        <v>373950.57</v>
      </c>
      <c r="P261" s="7">
        <v>266591.70954100002</v>
      </c>
      <c r="Q261" s="7">
        <v>0</v>
      </c>
      <c r="R261" s="7">
        <v>28.71</v>
      </c>
      <c r="S261" s="7">
        <v>19</v>
      </c>
      <c r="T261" s="7">
        <v>21</v>
      </c>
      <c r="U261" s="7">
        <v>21</v>
      </c>
      <c r="V261" s="7">
        <v>181</v>
      </c>
      <c r="W261" s="7">
        <v>19.48</v>
      </c>
      <c r="X261" s="7">
        <v>95000</v>
      </c>
      <c r="Y261" s="7">
        <v>0</v>
      </c>
      <c r="Z261" s="7">
        <v>0</v>
      </c>
      <c r="AA261" s="7">
        <v>26</v>
      </c>
      <c r="AB261" s="7">
        <v>2878</v>
      </c>
      <c r="AC261" s="7">
        <v>615000</v>
      </c>
      <c r="AD261" s="7">
        <v>615000</v>
      </c>
      <c r="AE261" s="7">
        <v>383607.4</v>
      </c>
      <c r="AF261" s="7">
        <v>340</v>
      </c>
      <c r="AG261" s="7">
        <v>175</v>
      </c>
      <c r="AH261" s="12">
        <v>340</v>
      </c>
    </row>
    <row r="262" spans="1:34" ht="21" hidden="1" x14ac:dyDescent="0.25">
      <c r="A262" s="11">
        <v>10</v>
      </c>
      <c r="B262" s="8" t="s">
        <v>180</v>
      </c>
      <c r="C262" s="7">
        <v>1450</v>
      </c>
      <c r="D262" s="8" t="s">
        <v>86</v>
      </c>
      <c r="E262" s="8" t="s">
        <v>18</v>
      </c>
      <c r="F262" s="8" t="s">
        <v>12</v>
      </c>
      <c r="G262" s="7">
        <v>75000</v>
      </c>
      <c r="H262" s="7">
        <v>65</v>
      </c>
      <c r="I262" s="7">
        <v>65</v>
      </c>
      <c r="J262" s="7">
        <v>75237.88</v>
      </c>
      <c r="K262" s="7">
        <v>56791.217257999997</v>
      </c>
      <c r="L262" s="7">
        <v>0</v>
      </c>
      <c r="M262" s="7">
        <v>24.52</v>
      </c>
      <c r="N262" s="7">
        <v>22.34</v>
      </c>
      <c r="O262" s="7">
        <v>0</v>
      </c>
      <c r="P262" s="7">
        <v>0</v>
      </c>
      <c r="Q262" s="7">
        <v>0</v>
      </c>
      <c r="R262" s="7">
        <v>0</v>
      </c>
      <c r="S262" s="7">
        <v>72</v>
      </c>
      <c r="T262" s="7">
        <v>21</v>
      </c>
      <c r="U262" s="7">
        <v>21</v>
      </c>
      <c r="V262" s="7">
        <v>668</v>
      </c>
      <c r="W262" s="7">
        <v>19.79</v>
      </c>
      <c r="X262" s="7">
        <v>75000</v>
      </c>
      <c r="Y262" s="7">
        <v>112.16</v>
      </c>
      <c r="Z262" s="7">
        <v>0</v>
      </c>
      <c r="AA262" s="7">
        <v>0</v>
      </c>
      <c r="AB262" s="7">
        <v>2878</v>
      </c>
      <c r="AC262" s="7">
        <v>631000</v>
      </c>
      <c r="AD262" s="7">
        <v>631000</v>
      </c>
      <c r="AE262" s="7">
        <v>388326.45</v>
      </c>
      <c r="AF262" s="7">
        <v>463</v>
      </c>
      <c r="AG262" s="7">
        <v>410</v>
      </c>
      <c r="AH262" s="12">
        <v>463</v>
      </c>
    </row>
    <row r="263" spans="1:34" hidden="1" x14ac:dyDescent="0.25">
      <c r="A263" s="11">
        <v>2</v>
      </c>
      <c r="B263" s="8" t="s">
        <v>10</v>
      </c>
      <c r="C263" s="7">
        <v>1457</v>
      </c>
      <c r="D263" s="8" t="s">
        <v>42</v>
      </c>
      <c r="E263" s="8" t="s">
        <v>18</v>
      </c>
      <c r="F263" s="8" t="s">
        <v>12</v>
      </c>
      <c r="G263" s="7">
        <v>90000</v>
      </c>
      <c r="H263" s="7">
        <v>69</v>
      </c>
      <c r="I263" s="7">
        <v>69</v>
      </c>
      <c r="J263" s="7">
        <v>65841.509999999995</v>
      </c>
      <c r="K263" s="7">
        <v>50388.768092999999</v>
      </c>
      <c r="L263" s="7">
        <v>0</v>
      </c>
      <c r="M263" s="7">
        <v>23.47</v>
      </c>
      <c r="N263" s="7">
        <v>28.15</v>
      </c>
      <c r="O263" s="7">
        <v>846001.61</v>
      </c>
      <c r="P263" s="7">
        <v>637404.95297400001</v>
      </c>
      <c r="Q263" s="7">
        <v>0</v>
      </c>
      <c r="R263" s="7">
        <v>24.66</v>
      </c>
      <c r="S263" s="7">
        <v>48</v>
      </c>
      <c r="T263" s="7">
        <v>21</v>
      </c>
      <c r="U263" s="7">
        <v>21</v>
      </c>
      <c r="V263" s="7">
        <v>370</v>
      </c>
      <c r="W263" s="7">
        <v>12.13</v>
      </c>
      <c r="X263" s="7">
        <v>90000</v>
      </c>
      <c r="Y263" s="7">
        <v>2170.54</v>
      </c>
      <c r="Z263" s="7">
        <v>1</v>
      </c>
      <c r="AA263" s="7">
        <v>21.03</v>
      </c>
      <c r="AB263" s="7">
        <v>2878</v>
      </c>
      <c r="AC263" s="7">
        <v>1279000</v>
      </c>
      <c r="AD263" s="7">
        <v>1279000</v>
      </c>
      <c r="AE263" s="7">
        <v>817160.5</v>
      </c>
      <c r="AF263" s="7">
        <v>815</v>
      </c>
      <c r="AG263" s="7">
        <v>491</v>
      </c>
      <c r="AH263" s="12">
        <v>815</v>
      </c>
    </row>
    <row r="264" spans="1:34" ht="21" hidden="1" x14ac:dyDescent="0.25">
      <c r="A264" s="11">
        <v>6</v>
      </c>
      <c r="B264" s="8" t="s">
        <v>142</v>
      </c>
      <c r="C264" s="7">
        <v>1466</v>
      </c>
      <c r="D264" s="8" t="s">
        <v>87</v>
      </c>
      <c r="E264" s="8" t="s">
        <v>18</v>
      </c>
      <c r="F264" s="8" t="s">
        <v>12</v>
      </c>
      <c r="G264" s="7">
        <v>95000</v>
      </c>
      <c r="H264" s="7">
        <v>78</v>
      </c>
      <c r="I264" s="7">
        <v>78</v>
      </c>
      <c r="J264" s="7">
        <v>95569.67</v>
      </c>
      <c r="K264" s="7">
        <v>72482.074204000004</v>
      </c>
      <c r="L264" s="7">
        <v>0</v>
      </c>
      <c r="M264" s="7">
        <v>24.16</v>
      </c>
      <c r="N264" s="7">
        <v>18.88</v>
      </c>
      <c r="O264" s="7">
        <v>745236.54</v>
      </c>
      <c r="P264" s="7">
        <v>557606.39015999995</v>
      </c>
      <c r="Q264" s="7">
        <v>0</v>
      </c>
      <c r="R264" s="7">
        <v>25.18</v>
      </c>
      <c r="S264" s="7">
        <v>78</v>
      </c>
      <c r="T264" s="7">
        <v>21</v>
      </c>
      <c r="U264" s="7">
        <v>21</v>
      </c>
      <c r="V264" s="7">
        <v>561</v>
      </c>
      <c r="W264" s="7">
        <v>12.3</v>
      </c>
      <c r="X264" s="7">
        <v>95000</v>
      </c>
      <c r="Y264" s="7">
        <v>7571.86</v>
      </c>
      <c r="Z264" s="7">
        <v>1</v>
      </c>
      <c r="AA264" s="7">
        <v>21.43</v>
      </c>
      <c r="AB264" s="7">
        <v>2878</v>
      </c>
      <c r="AC264" s="7">
        <v>1045000</v>
      </c>
      <c r="AD264" s="7">
        <v>1045000</v>
      </c>
      <c r="AE264" s="7">
        <v>712884.96</v>
      </c>
      <c r="AF264" s="7">
        <v>862</v>
      </c>
      <c r="AG264" s="7">
        <v>676</v>
      </c>
      <c r="AH264" s="12">
        <v>862</v>
      </c>
    </row>
    <row r="265" spans="1:34" ht="21" hidden="1" x14ac:dyDescent="0.25">
      <c r="A265" s="11">
        <v>4</v>
      </c>
      <c r="B265" s="8" t="s">
        <v>15</v>
      </c>
      <c r="C265" s="7">
        <v>1473</v>
      </c>
      <c r="D265" s="8" t="s">
        <v>88</v>
      </c>
      <c r="E265" s="8" t="s">
        <v>18</v>
      </c>
      <c r="F265" s="8" t="s">
        <v>12</v>
      </c>
      <c r="G265" s="7">
        <v>120000</v>
      </c>
      <c r="H265" s="7">
        <v>80</v>
      </c>
      <c r="I265" s="7">
        <v>80</v>
      </c>
      <c r="J265" s="7">
        <v>50479.68</v>
      </c>
      <c r="K265" s="7">
        <v>37107.244357000003</v>
      </c>
      <c r="L265" s="7">
        <v>0</v>
      </c>
      <c r="M265" s="7">
        <v>26.49</v>
      </c>
      <c r="N265" s="7">
        <v>20.71</v>
      </c>
      <c r="O265" s="7">
        <v>605747.14</v>
      </c>
      <c r="P265" s="7">
        <v>440429.91221899999</v>
      </c>
      <c r="Q265" s="7">
        <v>0</v>
      </c>
      <c r="R265" s="7">
        <v>27.29</v>
      </c>
      <c r="S265" s="7">
        <v>47</v>
      </c>
      <c r="T265" s="7">
        <v>21</v>
      </c>
      <c r="U265" s="7">
        <v>21</v>
      </c>
      <c r="V265" s="7">
        <v>407</v>
      </c>
      <c r="W265" s="7">
        <v>14.22</v>
      </c>
      <c r="X265" s="7">
        <v>120000</v>
      </c>
      <c r="Y265" s="7">
        <v>2793.55</v>
      </c>
      <c r="Z265" s="7">
        <v>1</v>
      </c>
      <c r="AA265" s="7">
        <v>22.14</v>
      </c>
      <c r="AB265" s="7">
        <v>2878</v>
      </c>
      <c r="AC265" s="7">
        <v>805000</v>
      </c>
      <c r="AD265" s="7">
        <v>805000</v>
      </c>
      <c r="AE265" s="7">
        <v>672054.7</v>
      </c>
      <c r="AF265" s="7">
        <v>523</v>
      </c>
      <c r="AG265" s="7">
        <v>450</v>
      </c>
      <c r="AH265" s="12">
        <v>523</v>
      </c>
    </row>
    <row r="266" spans="1:34" ht="21" hidden="1" x14ac:dyDescent="0.25">
      <c r="A266" s="11">
        <v>17</v>
      </c>
      <c r="B266" s="8" t="s">
        <v>16</v>
      </c>
      <c r="C266" s="7">
        <v>1475</v>
      </c>
      <c r="D266" s="8" t="s">
        <v>82</v>
      </c>
      <c r="E266" s="8" t="s">
        <v>18</v>
      </c>
      <c r="F266" s="8" t="s">
        <v>12</v>
      </c>
      <c r="G266" s="7">
        <v>95000</v>
      </c>
      <c r="H266" s="7">
        <v>54</v>
      </c>
      <c r="I266" s="7">
        <v>54</v>
      </c>
      <c r="J266" s="7">
        <v>84124.800000000003</v>
      </c>
      <c r="K266" s="7">
        <v>59533.928436000002</v>
      </c>
      <c r="L266" s="7">
        <v>0</v>
      </c>
      <c r="M266" s="7">
        <v>29.23</v>
      </c>
      <c r="N266" s="7">
        <v>21.03</v>
      </c>
      <c r="O266" s="7">
        <v>373950.57</v>
      </c>
      <c r="P266" s="7">
        <v>266591.70954100002</v>
      </c>
      <c r="Q266" s="7">
        <v>0</v>
      </c>
      <c r="R266" s="7">
        <v>28.71</v>
      </c>
      <c r="S266" s="7">
        <v>36</v>
      </c>
      <c r="T266" s="7">
        <v>21</v>
      </c>
      <c r="U266" s="7">
        <v>21</v>
      </c>
      <c r="V266" s="7">
        <v>355</v>
      </c>
      <c r="W266" s="7">
        <v>16.329999999999998</v>
      </c>
      <c r="X266" s="7">
        <v>95000</v>
      </c>
      <c r="Y266" s="7">
        <v>0</v>
      </c>
      <c r="Z266" s="7">
        <v>0</v>
      </c>
      <c r="AA266" s="7">
        <v>26</v>
      </c>
      <c r="AB266" s="7">
        <v>2878</v>
      </c>
      <c r="AC266" s="7">
        <v>615000</v>
      </c>
      <c r="AD266" s="7">
        <v>615000</v>
      </c>
      <c r="AE266" s="7">
        <v>383607.4</v>
      </c>
      <c r="AF266" s="7">
        <v>340</v>
      </c>
      <c r="AG266" s="7">
        <v>175</v>
      </c>
      <c r="AH266" s="12">
        <v>340</v>
      </c>
    </row>
    <row r="267" spans="1:34" ht="21" hidden="1" x14ac:dyDescent="0.25">
      <c r="A267" s="11">
        <v>10</v>
      </c>
      <c r="B267" s="8" t="s">
        <v>180</v>
      </c>
      <c r="C267" s="7">
        <v>1486</v>
      </c>
      <c r="D267" s="8" t="s">
        <v>89</v>
      </c>
      <c r="E267" s="8" t="s">
        <v>18</v>
      </c>
      <c r="F267" s="8" t="s">
        <v>12</v>
      </c>
      <c r="G267" s="7">
        <v>45000</v>
      </c>
      <c r="H267" s="7">
        <v>25</v>
      </c>
      <c r="I267" s="7">
        <v>25</v>
      </c>
      <c r="J267" s="7">
        <v>20646.150000000001</v>
      </c>
      <c r="K267" s="7">
        <v>15363.968507</v>
      </c>
      <c r="L267" s="7">
        <v>0</v>
      </c>
      <c r="M267" s="7">
        <v>25.58</v>
      </c>
      <c r="N267" s="7">
        <v>25.36</v>
      </c>
      <c r="O267" s="7">
        <v>0</v>
      </c>
      <c r="P267" s="7">
        <v>0</v>
      </c>
      <c r="Q267" s="7">
        <v>0</v>
      </c>
      <c r="R267" s="7">
        <v>0</v>
      </c>
      <c r="S267" s="7">
        <v>22</v>
      </c>
      <c r="T267" s="7">
        <v>21</v>
      </c>
      <c r="U267" s="7">
        <v>21</v>
      </c>
      <c r="V267" s="7">
        <v>160</v>
      </c>
      <c r="W267" s="7">
        <v>7.08</v>
      </c>
      <c r="X267" s="7">
        <v>45000</v>
      </c>
      <c r="Y267" s="7">
        <v>0</v>
      </c>
      <c r="Z267" s="7">
        <v>1</v>
      </c>
      <c r="AA267" s="7">
        <v>0</v>
      </c>
      <c r="AB267" s="7">
        <v>2878</v>
      </c>
      <c r="AC267" s="7">
        <v>631000</v>
      </c>
      <c r="AD267" s="7">
        <v>631000</v>
      </c>
      <c r="AE267" s="7">
        <v>388326.45</v>
      </c>
      <c r="AF267" s="7">
        <v>463</v>
      </c>
      <c r="AG267" s="7">
        <v>410</v>
      </c>
      <c r="AH267" s="12">
        <v>463</v>
      </c>
    </row>
    <row r="268" spans="1:34" ht="21" hidden="1" x14ac:dyDescent="0.25">
      <c r="A268" s="11">
        <v>20</v>
      </c>
      <c r="B268" s="8" t="s">
        <v>30</v>
      </c>
      <c r="C268" s="7">
        <v>1493</v>
      </c>
      <c r="D268" s="8" t="s">
        <v>90</v>
      </c>
      <c r="E268" s="8" t="s">
        <v>18</v>
      </c>
      <c r="F268" s="8" t="s">
        <v>12</v>
      </c>
      <c r="G268" s="7">
        <v>46000</v>
      </c>
      <c r="H268" s="7">
        <v>40</v>
      </c>
      <c r="I268" s="7">
        <v>40</v>
      </c>
      <c r="J268" s="7">
        <v>13516.3</v>
      </c>
      <c r="K268" s="7">
        <v>9836.3607470000006</v>
      </c>
      <c r="L268" s="7">
        <v>0</v>
      </c>
      <c r="M268" s="7">
        <v>27.23</v>
      </c>
      <c r="N268" s="7">
        <v>28.1</v>
      </c>
      <c r="O268" s="7">
        <v>419999.02</v>
      </c>
      <c r="P268" s="7">
        <v>316673.86645799997</v>
      </c>
      <c r="Q268" s="7">
        <v>0</v>
      </c>
      <c r="R268" s="7">
        <v>24.6</v>
      </c>
      <c r="S268" s="7">
        <v>16</v>
      </c>
      <c r="T268" s="7">
        <v>21</v>
      </c>
      <c r="U268" s="7">
        <v>21</v>
      </c>
      <c r="V268" s="7">
        <v>76</v>
      </c>
      <c r="W268" s="7">
        <v>7.5</v>
      </c>
      <c r="X268" s="7">
        <v>46000</v>
      </c>
      <c r="Y268" s="7">
        <v>2500.8000000000002</v>
      </c>
      <c r="Z268" s="7">
        <v>1</v>
      </c>
      <c r="AA268" s="7">
        <v>33.020000000000003</v>
      </c>
      <c r="AB268" s="7">
        <v>2878</v>
      </c>
      <c r="AC268" s="7">
        <v>307000</v>
      </c>
      <c r="AD268" s="7">
        <v>307000</v>
      </c>
      <c r="AE268" s="7">
        <v>161835.67000000001</v>
      </c>
      <c r="AF268" s="7">
        <v>260</v>
      </c>
      <c r="AG268" s="7">
        <v>111</v>
      </c>
      <c r="AH268" s="12">
        <v>260</v>
      </c>
    </row>
    <row r="269" spans="1:34" ht="21" hidden="1" x14ac:dyDescent="0.25">
      <c r="A269" s="11">
        <v>17</v>
      </c>
      <c r="B269" s="8" t="s">
        <v>16</v>
      </c>
      <c r="C269" s="7">
        <v>1497</v>
      </c>
      <c r="D269" s="8" t="s">
        <v>91</v>
      </c>
      <c r="E269" s="8" t="s">
        <v>18</v>
      </c>
      <c r="F269" s="8" t="s">
        <v>12</v>
      </c>
      <c r="G269" s="7">
        <v>85000</v>
      </c>
      <c r="H269" s="7">
        <v>36</v>
      </c>
      <c r="I269" s="7">
        <v>36</v>
      </c>
      <c r="J269" s="7">
        <v>59094.41</v>
      </c>
      <c r="K269" s="7">
        <v>42082.970687000001</v>
      </c>
      <c r="L269" s="7">
        <v>0</v>
      </c>
      <c r="M269" s="7">
        <v>28.79</v>
      </c>
      <c r="N269" s="7">
        <v>23.37</v>
      </c>
      <c r="O269" s="7">
        <v>373950.57</v>
      </c>
      <c r="P269" s="7">
        <v>266591.70954100002</v>
      </c>
      <c r="Q269" s="7">
        <v>0</v>
      </c>
      <c r="R269" s="7">
        <v>28.71</v>
      </c>
      <c r="S269" s="7">
        <v>27</v>
      </c>
      <c r="T269" s="7">
        <v>21</v>
      </c>
      <c r="U269" s="7">
        <v>21</v>
      </c>
      <c r="V269" s="7">
        <v>436</v>
      </c>
      <c r="W269" s="7">
        <v>22.74</v>
      </c>
      <c r="X269" s="7">
        <v>85000</v>
      </c>
      <c r="Y269" s="7">
        <v>0</v>
      </c>
      <c r="Z269" s="7">
        <v>0</v>
      </c>
      <c r="AA269" s="7">
        <v>26</v>
      </c>
      <c r="AB269" s="7">
        <v>2878</v>
      </c>
      <c r="AC269" s="7">
        <v>615000</v>
      </c>
      <c r="AD269" s="7">
        <v>615000</v>
      </c>
      <c r="AE269" s="7">
        <v>383607.4</v>
      </c>
      <c r="AF269" s="7">
        <v>340</v>
      </c>
      <c r="AG269" s="7">
        <v>175</v>
      </c>
      <c r="AH269" s="12">
        <v>340</v>
      </c>
    </row>
    <row r="270" spans="1:34" hidden="1" x14ac:dyDescent="0.25">
      <c r="A270" s="11">
        <v>2</v>
      </c>
      <c r="B270" s="8" t="s">
        <v>10</v>
      </c>
      <c r="C270" s="7">
        <v>1505</v>
      </c>
      <c r="D270" s="8" t="s">
        <v>93</v>
      </c>
      <c r="E270" s="8" t="s">
        <v>18</v>
      </c>
      <c r="F270" s="8" t="s">
        <v>12</v>
      </c>
      <c r="G270" s="7">
        <v>80000</v>
      </c>
      <c r="H270" s="7">
        <v>50</v>
      </c>
      <c r="I270" s="7">
        <v>50</v>
      </c>
      <c r="J270" s="7">
        <v>47068.98</v>
      </c>
      <c r="K270" s="7">
        <v>35404.314516999999</v>
      </c>
      <c r="L270" s="7">
        <v>0</v>
      </c>
      <c r="M270" s="7">
        <v>24.78</v>
      </c>
      <c r="N270" s="7">
        <v>21.54</v>
      </c>
      <c r="O270" s="7">
        <v>846001.61</v>
      </c>
      <c r="P270" s="7">
        <v>637404.95297400001</v>
      </c>
      <c r="Q270" s="7">
        <v>0</v>
      </c>
      <c r="R270" s="7">
        <v>24.66</v>
      </c>
      <c r="S270" s="7">
        <v>27</v>
      </c>
      <c r="T270" s="7">
        <v>21</v>
      </c>
      <c r="U270" s="7">
        <v>21</v>
      </c>
      <c r="V270" s="7">
        <v>339</v>
      </c>
      <c r="W270" s="7">
        <v>17.28</v>
      </c>
      <c r="X270" s="7">
        <v>80000</v>
      </c>
      <c r="Y270" s="7">
        <v>87.91</v>
      </c>
      <c r="Z270" s="7">
        <v>1</v>
      </c>
      <c r="AA270" s="7">
        <v>21.03</v>
      </c>
      <c r="AB270" s="7">
        <v>2878</v>
      </c>
      <c r="AC270" s="7">
        <v>1279000</v>
      </c>
      <c r="AD270" s="7">
        <v>1279000</v>
      </c>
      <c r="AE270" s="7">
        <v>817160.5</v>
      </c>
      <c r="AF270" s="7">
        <v>815</v>
      </c>
      <c r="AG270" s="7">
        <v>491</v>
      </c>
      <c r="AH270" s="12">
        <v>815</v>
      </c>
    </row>
    <row r="271" spans="1:34" ht="21" hidden="1" x14ac:dyDescent="0.25">
      <c r="A271" s="11">
        <v>4</v>
      </c>
      <c r="B271" s="8" t="s">
        <v>15</v>
      </c>
      <c r="C271" s="7">
        <v>1510</v>
      </c>
      <c r="D271" s="8" t="s">
        <v>121</v>
      </c>
      <c r="E271" s="8" t="s">
        <v>18</v>
      </c>
      <c r="F271" s="8" t="s">
        <v>12</v>
      </c>
      <c r="G271" s="7">
        <v>45000</v>
      </c>
      <c r="H271" s="7">
        <v>40</v>
      </c>
      <c r="I271" s="7">
        <v>40</v>
      </c>
      <c r="J271" s="7">
        <v>29088.71</v>
      </c>
      <c r="K271" s="7">
        <v>20962.887621999998</v>
      </c>
      <c r="L271" s="7">
        <v>0</v>
      </c>
      <c r="M271" s="7">
        <v>27.93</v>
      </c>
      <c r="N271" s="7">
        <v>34.9</v>
      </c>
      <c r="O271" s="7">
        <v>605747.14</v>
      </c>
      <c r="P271" s="7">
        <v>440429.91221899999</v>
      </c>
      <c r="Q271" s="7">
        <v>0</v>
      </c>
      <c r="R271" s="7">
        <v>27.29</v>
      </c>
      <c r="S271" s="7">
        <v>19</v>
      </c>
      <c r="T271" s="7">
        <v>21</v>
      </c>
      <c r="U271" s="7">
        <v>21</v>
      </c>
      <c r="V271" s="7">
        <v>143</v>
      </c>
      <c r="W271" s="7">
        <v>7.92</v>
      </c>
      <c r="X271" s="7">
        <v>45000</v>
      </c>
      <c r="Y271" s="7">
        <v>940.68</v>
      </c>
      <c r="Z271" s="7">
        <v>3</v>
      </c>
      <c r="AA271" s="7">
        <v>22.14</v>
      </c>
      <c r="AB271" s="7">
        <v>2878</v>
      </c>
      <c r="AC271" s="7">
        <v>805000</v>
      </c>
      <c r="AD271" s="7">
        <v>805000</v>
      </c>
      <c r="AE271" s="7">
        <v>672054.7</v>
      </c>
      <c r="AF271" s="7">
        <v>523</v>
      </c>
      <c r="AG271" s="7">
        <v>450</v>
      </c>
      <c r="AH271" s="12">
        <v>523</v>
      </c>
    </row>
    <row r="272" spans="1:34" ht="21" hidden="1" x14ac:dyDescent="0.25">
      <c r="A272" s="11">
        <v>4</v>
      </c>
      <c r="B272" s="8" t="s">
        <v>15</v>
      </c>
      <c r="C272" s="7">
        <v>1522</v>
      </c>
      <c r="D272" s="8" t="s">
        <v>95</v>
      </c>
      <c r="E272" s="8" t="s">
        <v>18</v>
      </c>
      <c r="F272" s="8" t="s">
        <v>12</v>
      </c>
      <c r="G272" s="7">
        <v>50000</v>
      </c>
      <c r="H272" s="7">
        <v>1</v>
      </c>
      <c r="I272" s="7">
        <v>1</v>
      </c>
      <c r="J272" s="7">
        <v>47604.639999999999</v>
      </c>
      <c r="K272" s="7">
        <v>34924.741677999999</v>
      </c>
      <c r="L272" s="7">
        <v>0</v>
      </c>
      <c r="M272" s="7">
        <v>26.64</v>
      </c>
      <c r="N272" s="7">
        <v>27.72</v>
      </c>
      <c r="O272" s="7">
        <v>605747.14</v>
      </c>
      <c r="P272" s="7">
        <v>440429.91221899999</v>
      </c>
      <c r="Q272" s="7">
        <v>0</v>
      </c>
      <c r="R272" s="7">
        <v>27.29</v>
      </c>
      <c r="S272" s="7">
        <v>1</v>
      </c>
      <c r="T272" s="7">
        <v>21</v>
      </c>
      <c r="U272" s="7">
        <v>21</v>
      </c>
      <c r="V272" s="7">
        <v>97</v>
      </c>
      <c r="W272" s="7">
        <v>21.2</v>
      </c>
      <c r="X272" s="7">
        <v>50000</v>
      </c>
      <c r="Y272" s="7">
        <v>3120.98</v>
      </c>
      <c r="Z272" s="7">
        <v>0</v>
      </c>
      <c r="AA272" s="7">
        <v>22.14</v>
      </c>
      <c r="AB272" s="7">
        <v>2878</v>
      </c>
      <c r="AC272" s="7">
        <v>805000</v>
      </c>
      <c r="AD272" s="7">
        <v>805000</v>
      </c>
      <c r="AE272" s="7">
        <v>672054.7</v>
      </c>
      <c r="AF272" s="7">
        <v>523</v>
      </c>
      <c r="AG272" s="7">
        <v>450</v>
      </c>
      <c r="AH272" s="12">
        <v>523</v>
      </c>
    </row>
    <row r="273" spans="1:34" ht="21" hidden="1" x14ac:dyDescent="0.25">
      <c r="A273" s="11">
        <v>26</v>
      </c>
      <c r="B273" s="8" t="s">
        <v>13</v>
      </c>
      <c r="C273" s="7">
        <v>1527</v>
      </c>
      <c r="D273" s="8" t="s">
        <v>42</v>
      </c>
      <c r="E273" s="8" t="s">
        <v>18</v>
      </c>
      <c r="F273" s="8" t="s">
        <v>12</v>
      </c>
      <c r="G273" s="7">
        <v>46000</v>
      </c>
      <c r="H273" s="7">
        <v>40</v>
      </c>
      <c r="I273" s="7">
        <v>40</v>
      </c>
      <c r="J273" s="7">
        <v>29734.639999999999</v>
      </c>
      <c r="K273" s="7">
        <v>22316.556794</v>
      </c>
      <c r="L273" s="7">
        <v>0</v>
      </c>
      <c r="M273" s="7">
        <v>24.95</v>
      </c>
      <c r="N273" s="7">
        <v>23.78</v>
      </c>
      <c r="O273" s="7">
        <v>1049577.82</v>
      </c>
      <c r="P273" s="7">
        <v>799787.90072599996</v>
      </c>
      <c r="Q273" s="7">
        <v>0</v>
      </c>
      <c r="R273" s="7">
        <v>23.8</v>
      </c>
      <c r="S273" s="7">
        <v>28</v>
      </c>
      <c r="T273" s="7">
        <v>21</v>
      </c>
      <c r="U273" s="7">
        <v>21</v>
      </c>
      <c r="V273" s="7">
        <v>159</v>
      </c>
      <c r="W273" s="7">
        <v>6.24</v>
      </c>
      <c r="X273" s="7">
        <v>46000</v>
      </c>
      <c r="Y273" s="7">
        <v>1517.11</v>
      </c>
      <c r="Z273" s="7">
        <v>5</v>
      </c>
      <c r="AA273" s="7">
        <v>24.13</v>
      </c>
      <c r="AB273" s="7">
        <v>2878</v>
      </c>
      <c r="AC273" s="7">
        <v>968000</v>
      </c>
      <c r="AD273" s="7">
        <v>968000</v>
      </c>
      <c r="AE273" s="7">
        <v>884541.65</v>
      </c>
      <c r="AF273" s="7">
        <v>711</v>
      </c>
      <c r="AG273" s="7">
        <v>607</v>
      </c>
      <c r="AH273" s="12">
        <v>711</v>
      </c>
    </row>
    <row r="274" spans="1:34" ht="21" hidden="1" x14ac:dyDescent="0.25">
      <c r="A274" s="11">
        <v>26</v>
      </c>
      <c r="B274" s="8" t="s">
        <v>13</v>
      </c>
      <c r="C274" s="7">
        <v>1535</v>
      </c>
      <c r="D274" s="8" t="s">
        <v>97</v>
      </c>
      <c r="E274" s="8" t="s">
        <v>18</v>
      </c>
      <c r="F274" s="8" t="s">
        <v>12</v>
      </c>
      <c r="G274" s="7">
        <v>46000</v>
      </c>
      <c r="H274" s="7">
        <v>40</v>
      </c>
      <c r="I274" s="7">
        <v>40</v>
      </c>
      <c r="J274" s="7">
        <v>19920.400000000001</v>
      </c>
      <c r="K274" s="7">
        <v>15459.044567000001</v>
      </c>
      <c r="L274" s="7">
        <v>0</v>
      </c>
      <c r="M274" s="7">
        <v>22.4</v>
      </c>
      <c r="N274" s="7">
        <v>18.13</v>
      </c>
      <c r="O274" s="7">
        <v>1049577.82</v>
      </c>
      <c r="P274" s="7">
        <v>799787.90072599996</v>
      </c>
      <c r="Q274" s="7">
        <v>0</v>
      </c>
      <c r="R274" s="7">
        <v>23.8</v>
      </c>
      <c r="S274" s="7">
        <v>28</v>
      </c>
      <c r="T274" s="7">
        <v>21</v>
      </c>
      <c r="U274" s="7">
        <v>21</v>
      </c>
      <c r="V274" s="7">
        <v>95</v>
      </c>
      <c r="W274" s="7">
        <v>4.5199999999999996</v>
      </c>
      <c r="X274" s="7">
        <v>46000</v>
      </c>
      <c r="Y274" s="7">
        <v>0</v>
      </c>
      <c r="Z274" s="7">
        <v>2</v>
      </c>
      <c r="AA274" s="7">
        <v>24.13</v>
      </c>
      <c r="AB274" s="7">
        <v>2878</v>
      </c>
      <c r="AC274" s="7">
        <v>968000</v>
      </c>
      <c r="AD274" s="7">
        <v>968000</v>
      </c>
      <c r="AE274" s="7">
        <v>884541.65</v>
      </c>
      <c r="AF274" s="7">
        <v>711</v>
      </c>
      <c r="AG274" s="7">
        <v>607</v>
      </c>
      <c r="AH274" s="12">
        <v>711</v>
      </c>
    </row>
    <row r="275" spans="1:34" hidden="1" x14ac:dyDescent="0.25">
      <c r="A275" s="11">
        <v>2</v>
      </c>
      <c r="B275" s="8" t="s">
        <v>10</v>
      </c>
      <c r="C275" s="7">
        <v>1553</v>
      </c>
      <c r="D275" s="8" t="s">
        <v>55</v>
      </c>
      <c r="E275" s="8" t="s">
        <v>18</v>
      </c>
      <c r="F275" s="8" t="s">
        <v>12</v>
      </c>
      <c r="G275" s="7">
        <v>50000</v>
      </c>
      <c r="H275" s="7">
        <v>40</v>
      </c>
      <c r="I275" s="7">
        <v>40</v>
      </c>
      <c r="J275" s="7">
        <v>45903.15</v>
      </c>
      <c r="K275" s="7">
        <v>33864.975511999997</v>
      </c>
      <c r="L275" s="7">
        <v>0</v>
      </c>
      <c r="M275" s="7">
        <v>26.23</v>
      </c>
      <c r="N275" s="7">
        <v>52.89</v>
      </c>
      <c r="O275" s="7">
        <v>846001.61</v>
      </c>
      <c r="P275" s="7">
        <v>637404.95297400001</v>
      </c>
      <c r="Q275" s="7">
        <v>0</v>
      </c>
      <c r="R275" s="7">
        <v>24.66</v>
      </c>
      <c r="S275" s="7">
        <v>21</v>
      </c>
      <c r="T275" s="7">
        <v>21</v>
      </c>
      <c r="U275" s="7">
        <v>21</v>
      </c>
      <c r="V275" s="7">
        <v>128</v>
      </c>
      <c r="W275" s="7">
        <v>7.19</v>
      </c>
      <c r="X275" s="7">
        <v>50000</v>
      </c>
      <c r="Y275" s="7">
        <v>903.27</v>
      </c>
      <c r="Z275" s="7">
        <v>0</v>
      </c>
      <c r="AA275" s="7">
        <v>21.03</v>
      </c>
      <c r="AB275" s="7">
        <v>2878</v>
      </c>
      <c r="AC275" s="7">
        <v>1279000</v>
      </c>
      <c r="AD275" s="7">
        <v>1279000</v>
      </c>
      <c r="AE275" s="7">
        <v>817160.5</v>
      </c>
      <c r="AF275" s="7">
        <v>815</v>
      </c>
      <c r="AG275" s="7">
        <v>491</v>
      </c>
      <c r="AH275" s="12">
        <v>815</v>
      </c>
    </row>
    <row r="276" spans="1:34" ht="21" hidden="1" x14ac:dyDescent="0.25">
      <c r="A276" s="11">
        <v>4</v>
      </c>
      <c r="B276" s="8" t="s">
        <v>15</v>
      </c>
      <c r="C276" s="7">
        <v>1557</v>
      </c>
      <c r="D276" s="8" t="s">
        <v>100</v>
      </c>
      <c r="E276" s="8" t="s">
        <v>18</v>
      </c>
      <c r="F276" s="8" t="s">
        <v>12</v>
      </c>
      <c r="G276" s="7">
        <v>115000</v>
      </c>
      <c r="H276" s="7">
        <v>78</v>
      </c>
      <c r="I276" s="7">
        <v>78</v>
      </c>
      <c r="J276" s="7">
        <v>116589.71</v>
      </c>
      <c r="K276" s="7">
        <v>83123.959833999994</v>
      </c>
      <c r="L276" s="7">
        <v>0</v>
      </c>
      <c r="M276" s="7">
        <v>28.7</v>
      </c>
      <c r="N276" s="7">
        <v>22.89</v>
      </c>
      <c r="O276" s="7">
        <v>605747.14</v>
      </c>
      <c r="P276" s="7">
        <v>440429.91221899999</v>
      </c>
      <c r="Q276" s="7">
        <v>0</v>
      </c>
      <c r="R276" s="7">
        <v>27.29</v>
      </c>
      <c r="S276" s="7">
        <v>85</v>
      </c>
      <c r="T276" s="7">
        <v>21</v>
      </c>
      <c r="U276" s="7">
        <v>21</v>
      </c>
      <c r="V276" s="7">
        <v>531</v>
      </c>
      <c r="W276" s="7">
        <v>17.48</v>
      </c>
      <c r="X276" s="7">
        <v>115000</v>
      </c>
      <c r="Y276" s="7">
        <v>0</v>
      </c>
      <c r="Z276" s="7">
        <v>2</v>
      </c>
      <c r="AA276" s="7">
        <v>22.14</v>
      </c>
      <c r="AB276" s="7">
        <v>2878</v>
      </c>
      <c r="AC276" s="7">
        <v>805000</v>
      </c>
      <c r="AD276" s="7">
        <v>805000</v>
      </c>
      <c r="AE276" s="7">
        <v>672054.7</v>
      </c>
      <c r="AF276" s="7">
        <v>523</v>
      </c>
      <c r="AG276" s="7">
        <v>450</v>
      </c>
      <c r="AH276" s="12">
        <v>523</v>
      </c>
    </row>
    <row r="277" spans="1:34" ht="21" hidden="1" x14ac:dyDescent="0.25">
      <c r="A277" s="11">
        <v>4</v>
      </c>
      <c r="B277" s="8" t="s">
        <v>15</v>
      </c>
      <c r="C277" s="7">
        <v>1558</v>
      </c>
      <c r="D277" s="8" t="s">
        <v>101</v>
      </c>
      <c r="E277" s="8" t="s">
        <v>18</v>
      </c>
      <c r="F277" s="8" t="s">
        <v>12</v>
      </c>
      <c r="G277" s="7">
        <v>80000</v>
      </c>
      <c r="H277" s="7">
        <v>60</v>
      </c>
      <c r="I277" s="7">
        <v>60</v>
      </c>
      <c r="J277" s="7">
        <v>69949.36</v>
      </c>
      <c r="K277" s="7">
        <v>50644.485054999997</v>
      </c>
      <c r="L277" s="7">
        <v>0</v>
      </c>
      <c r="M277" s="7">
        <v>27.6</v>
      </c>
      <c r="N277" s="7">
        <v>23.38</v>
      </c>
      <c r="O277" s="7">
        <v>605747.14</v>
      </c>
      <c r="P277" s="7">
        <v>440429.91221899999</v>
      </c>
      <c r="Q277" s="7">
        <v>0</v>
      </c>
      <c r="R277" s="7">
        <v>27.29</v>
      </c>
      <c r="S277" s="7">
        <v>54</v>
      </c>
      <c r="T277" s="7">
        <v>21</v>
      </c>
      <c r="U277" s="7">
        <v>21</v>
      </c>
      <c r="V277" s="7">
        <v>324</v>
      </c>
      <c r="W277" s="7">
        <v>12.27</v>
      </c>
      <c r="X277" s="7">
        <v>80000</v>
      </c>
      <c r="Y277" s="7">
        <v>0</v>
      </c>
      <c r="Z277" s="7">
        <v>2</v>
      </c>
      <c r="AA277" s="7">
        <v>22.14</v>
      </c>
      <c r="AB277" s="7">
        <v>2878</v>
      </c>
      <c r="AC277" s="7">
        <v>805000</v>
      </c>
      <c r="AD277" s="7">
        <v>805000</v>
      </c>
      <c r="AE277" s="7">
        <v>672054.7</v>
      </c>
      <c r="AF277" s="7">
        <v>523</v>
      </c>
      <c r="AG277" s="7">
        <v>450</v>
      </c>
      <c r="AH277" s="12">
        <v>523</v>
      </c>
    </row>
    <row r="278" spans="1:34" ht="21" hidden="1" x14ac:dyDescent="0.25">
      <c r="A278" s="11">
        <v>4</v>
      </c>
      <c r="B278" s="8" t="s">
        <v>15</v>
      </c>
      <c r="C278" s="7">
        <v>1559</v>
      </c>
      <c r="D278" s="8" t="s">
        <v>102</v>
      </c>
      <c r="E278" s="8" t="s">
        <v>18</v>
      </c>
      <c r="F278" s="8" t="s">
        <v>12</v>
      </c>
      <c r="G278" s="7">
        <v>60000</v>
      </c>
      <c r="H278" s="7">
        <v>40</v>
      </c>
      <c r="I278" s="7">
        <v>40</v>
      </c>
      <c r="J278" s="7">
        <v>60712.46</v>
      </c>
      <c r="K278" s="7">
        <v>45081.421381</v>
      </c>
      <c r="L278" s="7">
        <v>0</v>
      </c>
      <c r="M278" s="7">
        <v>25.75</v>
      </c>
      <c r="N278" s="7">
        <v>19.2</v>
      </c>
      <c r="O278" s="7">
        <v>605747.14</v>
      </c>
      <c r="P278" s="7">
        <v>440429.91221899999</v>
      </c>
      <c r="Q278" s="7">
        <v>0</v>
      </c>
      <c r="R278" s="7">
        <v>27.29</v>
      </c>
      <c r="S278" s="7">
        <v>44</v>
      </c>
      <c r="T278" s="7">
        <v>21</v>
      </c>
      <c r="U278" s="7">
        <v>21</v>
      </c>
      <c r="V278" s="7">
        <v>530</v>
      </c>
      <c r="W278" s="7">
        <v>16.03</v>
      </c>
      <c r="X278" s="7">
        <v>60000</v>
      </c>
      <c r="Y278" s="7">
        <v>27.58</v>
      </c>
      <c r="Z278" s="7">
        <v>0</v>
      </c>
      <c r="AA278" s="7">
        <v>22.14</v>
      </c>
      <c r="AB278" s="7">
        <v>2878</v>
      </c>
      <c r="AC278" s="7">
        <v>805000</v>
      </c>
      <c r="AD278" s="7">
        <v>805000</v>
      </c>
      <c r="AE278" s="7">
        <v>672054.7</v>
      </c>
      <c r="AF278" s="7">
        <v>523</v>
      </c>
      <c r="AG278" s="7">
        <v>450</v>
      </c>
      <c r="AH278" s="12">
        <v>523</v>
      </c>
    </row>
    <row r="279" spans="1:34" hidden="1" x14ac:dyDescent="0.25">
      <c r="A279" s="11">
        <v>2</v>
      </c>
      <c r="B279" s="8" t="s">
        <v>10</v>
      </c>
      <c r="C279" s="7">
        <v>1561</v>
      </c>
      <c r="D279" s="8" t="s">
        <v>103</v>
      </c>
      <c r="E279" s="8" t="s">
        <v>18</v>
      </c>
      <c r="F279" s="8" t="s">
        <v>12</v>
      </c>
      <c r="G279" s="7">
        <v>0</v>
      </c>
      <c r="H279" s="7">
        <v>0</v>
      </c>
      <c r="I279" s="7">
        <v>0</v>
      </c>
      <c r="J279" s="7">
        <v>307.8</v>
      </c>
      <c r="K279" s="7">
        <v>231.339528</v>
      </c>
      <c r="L279" s="7">
        <v>0</v>
      </c>
      <c r="M279" s="7">
        <v>24.84</v>
      </c>
      <c r="N279" s="7">
        <v>21</v>
      </c>
      <c r="O279" s="7">
        <v>846001.61</v>
      </c>
      <c r="P279" s="7">
        <v>637404.95297400001</v>
      </c>
      <c r="Q279" s="7">
        <v>0</v>
      </c>
      <c r="R279" s="7">
        <v>24.66</v>
      </c>
      <c r="S279" s="7">
        <v>1</v>
      </c>
      <c r="T279" s="7">
        <v>21</v>
      </c>
      <c r="U279" s="7">
        <v>21</v>
      </c>
      <c r="V279" s="7">
        <v>5</v>
      </c>
      <c r="W279" s="7">
        <v>5</v>
      </c>
      <c r="X279" s="7">
        <v>0</v>
      </c>
      <c r="Y279" s="7">
        <v>13094.41</v>
      </c>
      <c r="Z279" s="7">
        <v>0</v>
      </c>
      <c r="AA279" s="7">
        <v>21.03</v>
      </c>
      <c r="AB279" s="7">
        <v>2878</v>
      </c>
      <c r="AC279" s="7">
        <v>1279000</v>
      </c>
      <c r="AD279" s="7">
        <v>1279000</v>
      </c>
      <c r="AE279" s="7">
        <v>817160.5</v>
      </c>
      <c r="AF279" s="7">
        <v>815</v>
      </c>
      <c r="AG279" s="7">
        <v>491</v>
      </c>
      <c r="AH279" s="12">
        <v>815</v>
      </c>
    </row>
    <row r="280" spans="1:34" ht="21" hidden="1" x14ac:dyDescent="0.25">
      <c r="A280" s="11">
        <v>26</v>
      </c>
      <c r="B280" s="8" t="s">
        <v>13</v>
      </c>
      <c r="C280" s="7">
        <v>1565</v>
      </c>
      <c r="D280" s="8" t="s">
        <v>129</v>
      </c>
      <c r="E280" s="8" t="s">
        <v>18</v>
      </c>
      <c r="F280" s="8" t="s">
        <v>12</v>
      </c>
      <c r="G280" s="7">
        <v>40000</v>
      </c>
      <c r="H280" s="7">
        <v>1</v>
      </c>
      <c r="I280" s="7">
        <v>1</v>
      </c>
      <c r="J280" s="7">
        <v>15625.02</v>
      </c>
      <c r="K280" s="7">
        <v>11780.327810000001</v>
      </c>
      <c r="L280" s="7">
        <v>0</v>
      </c>
      <c r="M280" s="7">
        <v>24.61</v>
      </c>
      <c r="N280" s="7">
        <v>44.72</v>
      </c>
      <c r="O280" s="7">
        <v>1049577.82</v>
      </c>
      <c r="P280" s="7">
        <v>799787.90072599996</v>
      </c>
      <c r="Q280" s="7">
        <v>0</v>
      </c>
      <c r="R280" s="7">
        <v>23.8</v>
      </c>
      <c r="S280" s="7">
        <v>1</v>
      </c>
      <c r="T280" s="7">
        <v>21</v>
      </c>
      <c r="U280" s="7">
        <v>21</v>
      </c>
      <c r="V280" s="7">
        <v>47</v>
      </c>
      <c r="W280" s="7">
        <v>11.75</v>
      </c>
      <c r="X280" s="7">
        <v>40000</v>
      </c>
      <c r="Y280" s="7">
        <v>0</v>
      </c>
      <c r="Z280" s="7">
        <v>0</v>
      </c>
      <c r="AA280" s="7">
        <v>24.13</v>
      </c>
      <c r="AB280" s="7">
        <v>2878</v>
      </c>
      <c r="AC280" s="7">
        <v>968000</v>
      </c>
      <c r="AD280" s="7">
        <v>968000</v>
      </c>
      <c r="AE280" s="7">
        <v>884541.65</v>
      </c>
      <c r="AF280" s="7">
        <v>711</v>
      </c>
      <c r="AG280" s="7">
        <v>607</v>
      </c>
      <c r="AH280" s="12">
        <v>711</v>
      </c>
    </row>
    <row r="281" spans="1:34" ht="31.5" hidden="1" x14ac:dyDescent="0.25">
      <c r="A281" s="11">
        <v>14</v>
      </c>
      <c r="B281" s="8" t="s">
        <v>31</v>
      </c>
      <c r="C281" s="7">
        <v>1574</v>
      </c>
      <c r="D281" s="8" t="s">
        <v>107</v>
      </c>
      <c r="E281" s="8" t="s">
        <v>18</v>
      </c>
      <c r="F281" s="8" t="s">
        <v>12</v>
      </c>
      <c r="G281" s="7">
        <v>0</v>
      </c>
      <c r="H281" s="7">
        <v>0</v>
      </c>
      <c r="I281" s="7">
        <v>0</v>
      </c>
      <c r="J281" s="7">
        <v>2752.4</v>
      </c>
      <c r="K281" s="7">
        <v>1857.3494290000001</v>
      </c>
      <c r="L281" s="7">
        <v>0</v>
      </c>
      <c r="M281" s="7">
        <v>32.520000000000003</v>
      </c>
      <c r="N281" s="7">
        <v>46.86</v>
      </c>
      <c r="O281" s="7">
        <v>83546.679999999993</v>
      </c>
      <c r="P281" s="7">
        <v>58998.128599999996</v>
      </c>
      <c r="Q281" s="7">
        <v>0</v>
      </c>
      <c r="R281" s="7">
        <v>29.38</v>
      </c>
      <c r="S281" s="7">
        <v>3</v>
      </c>
      <c r="T281" s="7">
        <v>21</v>
      </c>
      <c r="U281" s="7">
        <v>21</v>
      </c>
      <c r="V281" s="7">
        <v>16</v>
      </c>
      <c r="W281" s="7">
        <v>5.33</v>
      </c>
      <c r="X281" s="7">
        <v>0</v>
      </c>
      <c r="Y281" s="7">
        <v>1440</v>
      </c>
      <c r="Z281" s="7">
        <v>0</v>
      </c>
      <c r="AA281" s="7">
        <v>35.1</v>
      </c>
      <c r="AB281" s="7">
        <v>2878</v>
      </c>
      <c r="AC281" s="7">
        <v>45000</v>
      </c>
      <c r="AD281" s="7">
        <v>45000</v>
      </c>
      <c r="AE281" s="7">
        <v>7582.29</v>
      </c>
      <c r="AF281" s="7">
        <v>40</v>
      </c>
      <c r="AG281" s="7">
        <v>7</v>
      </c>
      <c r="AH281" s="12">
        <v>40</v>
      </c>
    </row>
    <row r="282" spans="1:34" ht="21" hidden="1" x14ac:dyDescent="0.25">
      <c r="A282" s="11">
        <v>12</v>
      </c>
      <c r="B282" s="8" t="s">
        <v>14</v>
      </c>
      <c r="C282" s="7">
        <v>1577</v>
      </c>
      <c r="D282" s="8" t="s">
        <v>108</v>
      </c>
      <c r="E282" s="8" t="s">
        <v>18</v>
      </c>
      <c r="F282" s="8" t="s">
        <v>12</v>
      </c>
      <c r="G282" s="7">
        <v>51000</v>
      </c>
      <c r="H282" s="7">
        <v>60</v>
      </c>
      <c r="I282" s="7">
        <v>60</v>
      </c>
      <c r="J282" s="7">
        <v>4898.21</v>
      </c>
      <c r="K282" s="7">
        <v>3677.0290650000002</v>
      </c>
      <c r="L282" s="7">
        <v>0</v>
      </c>
      <c r="M282" s="7">
        <v>24.93</v>
      </c>
      <c r="N282" s="7">
        <v>13.89</v>
      </c>
      <c r="O282" s="7">
        <v>341385.34</v>
      </c>
      <c r="P282" s="7">
        <v>256949.644531</v>
      </c>
      <c r="Q282" s="7">
        <v>0</v>
      </c>
      <c r="R282" s="7">
        <v>24.73</v>
      </c>
      <c r="S282" s="7">
        <v>14</v>
      </c>
      <c r="T282" s="7">
        <v>21</v>
      </c>
      <c r="U282" s="7">
        <v>21</v>
      </c>
      <c r="V282" s="7">
        <v>64</v>
      </c>
      <c r="W282" s="7">
        <v>7.36</v>
      </c>
      <c r="X282" s="7">
        <v>51000</v>
      </c>
      <c r="Y282" s="7">
        <v>301.48</v>
      </c>
      <c r="Z282" s="7">
        <v>0</v>
      </c>
      <c r="AA282" s="7">
        <v>29.95</v>
      </c>
      <c r="AB282" s="7">
        <v>2878</v>
      </c>
      <c r="AC282" s="7">
        <v>665000</v>
      </c>
      <c r="AD282" s="7">
        <v>665000</v>
      </c>
      <c r="AE282" s="7">
        <v>304209.8</v>
      </c>
      <c r="AF282" s="7">
        <v>750</v>
      </c>
      <c r="AG282" s="7">
        <v>397</v>
      </c>
      <c r="AH282" s="12">
        <v>750</v>
      </c>
    </row>
    <row r="283" spans="1:34" ht="21" hidden="1" x14ac:dyDescent="0.25">
      <c r="A283" s="11">
        <v>12</v>
      </c>
      <c r="B283" s="8" t="s">
        <v>14</v>
      </c>
      <c r="C283" s="7">
        <v>1582</v>
      </c>
      <c r="D283" s="8" t="s">
        <v>111</v>
      </c>
      <c r="E283" s="8" t="s">
        <v>18</v>
      </c>
      <c r="F283" s="8" t="s">
        <v>12</v>
      </c>
      <c r="G283" s="7">
        <v>51000</v>
      </c>
      <c r="H283" s="7">
        <v>60</v>
      </c>
      <c r="I283" s="7">
        <v>60</v>
      </c>
      <c r="J283" s="7">
        <v>43032.87</v>
      </c>
      <c r="K283" s="7">
        <v>32533.730894</v>
      </c>
      <c r="L283" s="7">
        <v>0</v>
      </c>
      <c r="M283" s="7">
        <v>24.4</v>
      </c>
      <c r="N283" s="7">
        <v>19.88</v>
      </c>
      <c r="O283" s="7">
        <v>341385.34</v>
      </c>
      <c r="P283" s="7">
        <v>256949.644531</v>
      </c>
      <c r="Q283" s="7">
        <v>0</v>
      </c>
      <c r="R283" s="7">
        <v>24.73</v>
      </c>
      <c r="S283" s="7">
        <v>56</v>
      </c>
      <c r="T283" s="7">
        <v>21</v>
      </c>
      <c r="U283" s="7">
        <v>21</v>
      </c>
      <c r="V283" s="7">
        <v>238</v>
      </c>
      <c r="W283" s="7">
        <v>9.08</v>
      </c>
      <c r="X283" s="7">
        <v>51000</v>
      </c>
      <c r="Y283" s="7">
        <v>571.79</v>
      </c>
      <c r="Z283" s="7">
        <v>4</v>
      </c>
      <c r="AA283" s="7">
        <v>29.95</v>
      </c>
      <c r="AB283" s="7">
        <v>2878</v>
      </c>
      <c r="AC283" s="7">
        <v>665000</v>
      </c>
      <c r="AD283" s="7">
        <v>665000</v>
      </c>
      <c r="AE283" s="7">
        <v>304209.8</v>
      </c>
      <c r="AF283" s="7">
        <v>750</v>
      </c>
      <c r="AG283" s="7">
        <v>397</v>
      </c>
      <c r="AH283" s="12">
        <v>750</v>
      </c>
    </row>
    <row r="284" spans="1:34" ht="21" hidden="1" x14ac:dyDescent="0.25">
      <c r="A284" s="11">
        <v>4</v>
      </c>
      <c r="B284" s="8" t="s">
        <v>15</v>
      </c>
      <c r="C284" s="7">
        <v>1583</v>
      </c>
      <c r="D284" s="8" t="s">
        <v>112</v>
      </c>
      <c r="E284" s="8" t="s">
        <v>18</v>
      </c>
      <c r="F284" s="8" t="s">
        <v>12</v>
      </c>
      <c r="G284" s="7">
        <v>45000</v>
      </c>
      <c r="H284" s="7">
        <v>40</v>
      </c>
      <c r="I284" s="7">
        <v>40</v>
      </c>
      <c r="J284" s="7">
        <v>21218.13</v>
      </c>
      <c r="K284" s="7">
        <v>15382.393418</v>
      </c>
      <c r="L284" s="7">
        <v>0</v>
      </c>
      <c r="M284" s="7">
        <v>27.5</v>
      </c>
      <c r="N284" s="7">
        <v>31.68</v>
      </c>
      <c r="O284" s="7">
        <v>605747.14</v>
      </c>
      <c r="P284" s="7">
        <v>440429.91221899999</v>
      </c>
      <c r="Q284" s="7">
        <v>0</v>
      </c>
      <c r="R284" s="7">
        <v>27.29</v>
      </c>
      <c r="S284" s="7">
        <v>21</v>
      </c>
      <c r="T284" s="7">
        <v>21</v>
      </c>
      <c r="U284" s="7">
        <v>21</v>
      </c>
      <c r="V284" s="7">
        <v>91</v>
      </c>
      <c r="W284" s="7">
        <v>5.08</v>
      </c>
      <c r="X284" s="7">
        <v>45000</v>
      </c>
      <c r="Y284" s="7">
        <v>265.83999999999997</v>
      </c>
      <c r="Z284" s="7">
        <v>1</v>
      </c>
      <c r="AA284" s="7">
        <v>22.14</v>
      </c>
      <c r="AB284" s="7">
        <v>2878</v>
      </c>
      <c r="AC284" s="7">
        <v>805000</v>
      </c>
      <c r="AD284" s="7">
        <v>805000</v>
      </c>
      <c r="AE284" s="7">
        <v>672054.7</v>
      </c>
      <c r="AF284" s="7">
        <v>523</v>
      </c>
      <c r="AG284" s="7">
        <v>450</v>
      </c>
      <c r="AH284" s="12">
        <v>523</v>
      </c>
    </row>
    <row r="285" spans="1:34" ht="21" hidden="1" x14ac:dyDescent="0.25">
      <c r="A285" s="11">
        <v>6</v>
      </c>
      <c r="B285" s="8" t="s">
        <v>142</v>
      </c>
      <c r="C285" s="7">
        <v>1585</v>
      </c>
      <c r="D285" s="8" t="s">
        <v>90</v>
      </c>
      <c r="E285" s="8" t="s">
        <v>18</v>
      </c>
      <c r="F285" s="8" t="s">
        <v>12</v>
      </c>
      <c r="G285" s="7">
        <v>50000</v>
      </c>
      <c r="H285" s="7">
        <v>45</v>
      </c>
      <c r="I285" s="7">
        <v>45</v>
      </c>
      <c r="J285" s="7">
        <v>29175.24</v>
      </c>
      <c r="K285" s="7">
        <v>21476.064376999999</v>
      </c>
      <c r="L285" s="7">
        <v>0</v>
      </c>
      <c r="M285" s="7">
        <v>26.39</v>
      </c>
      <c r="N285" s="7">
        <v>19.03</v>
      </c>
      <c r="O285" s="7">
        <v>745236.54</v>
      </c>
      <c r="P285" s="7">
        <v>557606.39015999995</v>
      </c>
      <c r="Q285" s="7">
        <v>0</v>
      </c>
      <c r="R285" s="7">
        <v>25.18</v>
      </c>
      <c r="S285" s="7">
        <v>34</v>
      </c>
      <c r="T285" s="7">
        <v>21</v>
      </c>
      <c r="U285" s="7">
        <v>21</v>
      </c>
      <c r="V285" s="7">
        <v>266</v>
      </c>
      <c r="W285" s="7">
        <v>11.59</v>
      </c>
      <c r="X285" s="7">
        <v>50000</v>
      </c>
      <c r="Y285" s="7">
        <v>348.65</v>
      </c>
      <c r="Z285" s="7">
        <v>1</v>
      </c>
      <c r="AA285" s="7">
        <v>21.43</v>
      </c>
      <c r="AB285" s="7">
        <v>2878</v>
      </c>
      <c r="AC285" s="7">
        <v>1045000</v>
      </c>
      <c r="AD285" s="7">
        <v>1045000</v>
      </c>
      <c r="AE285" s="7">
        <v>712884.96</v>
      </c>
      <c r="AF285" s="7">
        <v>862</v>
      </c>
      <c r="AG285" s="7">
        <v>676</v>
      </c>
      <c r="AH285" s="12">
        <v>862</v>
      </c>
    </row>
    <row r="286" spans="1:34" ht="21" hidden="1" x14ac:dyDescent="0.25">
      <c r="A286" s="11">
        <v>12</v>
      </c>
      <c r="B286" s="8" t="s">
        <v>14</v>
      </c>
      <c r="C286" s="7">
        <v>1586</v>
      </c>
      <c r="D286" s="8" t="s">
        <v>55</v>
      </c>
      <c r="E286" s="8" t="s">
        <v>18</v>
      </c>
      <c r="F286" s="8" t="s">
        <v>12</v>
      </c>
      <c r="G286" s="7">
        <v>51000</v>
      </c>
      <c r="H286" s="7">
        <v>60</v>
      </c>
      <c r="I286" s="7">
        <v>60</v>
      </c>
      <c r="J286" s="7">
        <v>6765.67</v>
      </c>
      <c r="K286" s="7">
        <v>5228.3805339999999</v>
      </c>
      <c r="L286" s="7">
        <v>0</v>
      </c>
      <c r="M286" s="7">
        <v>22.72</v>
      </c>
      <c r="N286" s="7">
        <v>4.76</v>
      </c>
      <c r="O286" s="7">
        <v>341385.34</v>
      </c>
      <c r="P286" s="7">
        <v>256949.644531</v>
      </c>
      <c r="Q286" s="7">
        <v>0</v>
      </c>
      <c r="R286" s="7">
        <v>24.73</v>
      </c>
      <c r="S286" s="7">
        <v>16</v>
      </c>
      <c r="T286" s="7">
        <v>21</v>
      </c>
      <c r="U286" s="7">
        <v>21</v>
      </c>
      <c r="V286" s="7">
        <v>55</v>
      </c>
      <c r="W286" s="7">
        <v>6.5</v>
      </c>
      <c r="X286" s="7">
        <v>51000</v>
      </c>
      <c r="Y286" s="7">
        <v>750.99</v>
      </c>
      <c r="Z286" s="7">
        <v>0</v>
      </c>
      <c r="AA286" s="7">
        <v>29.95</v>
      </c>
      <c r="AB286" s="7">
        <v>2878</v>
      </c>
      <c r="AC286" s="7">
        <v>665000</v>
      </c>
      <c r="AD286" s="7">
        <v>665000</v>
      </c>
      <c r="AE286" s="7">
        <v>304209.8</v>
      </c>
      <c r="AF286" s="7">
        <v>750</v>
      </c>
      <c r="AG286" s="7">
        <v>397</v>
      </c>
      <c r="AH286" s="12">
        <v>750</v>
      </c>
    </row>
    <row r="287" spans="1:34" ht="21" hidden="1" x14ac:dyDescent="0.25">
      <c r="A287" s="11">
        <v>6</v>
      </c>
      <c r="B287" s="8" t="s">
        <v>142</v>
      </c>
      <c r="C287" s="7">
        <v>1587</v>
      </c>
      <c r="D287" s="8" t="s">
        <v>58</v>
      </c>
      <c r="E287" s="8" t="s">
        <v>18</v>
      </c>
      <c r="F287" s="8" t="s">
        <v>12</v>
      </c>
      <c r="G287" s="7">
        <v>50000</v>
      </c>
      <c r="H287" s="7">
        <v>50</v>
      </c>
      <c r="I287" s="7">
        <v>50</v>
      </c>
      <c r="J287" s="7">
        <v>24513.48</v>
      </c>
      <c r="K287" s="7">
        <v>18476.309345999998</v>
      </c>
      <c r="L287" s="7">
        <v>0</v>
      </c>
      <c r="M287" s="7">
        <v>24.63</v>
      </c>
      <c r="N287" s="7">
        <v>20.29</v>
      </c>
      <c r="O287" s="7">
        <v>745236.54</v>
      </c>
      <c r="P287" s="7">
        <v>557606.39015999995</v>
      </c>
      <c r="Q287" s="7">
        <v>0</v>
      </c>
      <c r="R287" s="7">
        <v>25.18</v>
      </c>
      <c r="S287" s="7">
        <v>30</v>
      </c>
      <c r="T287" s="7">
        <v>21</v>
      </c>
      <c r="U287" s="7">
        <v>21</v>
      </c>
      <c r="V287" s="7">
        <v>153</v>
      </c>
      <c r="W287" s="7">
        <v>8.65</v>
      </c>
      <c r="X287" s="7">
        <v>50000</v>
      </c>
      <c r="Y287" s="7">
        <v>1662.91</v>
      </c>
      <c r="Z287" s="7">
        <v>0</v>
      </c>
      <c r="AA287" s="7">
        <v>21.43</v>
      </c>
      <c r="AB287" s="7">
        <v>2878</v>
      </c>
      <c r="AC287" s="7">
        <v>1045000</v>
      </c>
      <c r="AD287" s="7">
        <v>1045000</v>
      </c>
      <c r="AE287" s="7">
        <v>712884.96</v>
      </c>
      <c r="AF287" s="7">
        <v>862</v>
      </c>
      <c r="AG287" s="7">
        <v>676</v>
      </c>
      <c r="AH287" s="12">
        <v>862</v>
      </c>
    </row>
    <row r="288" spans="1:34" ht="21" hidden="1" x14ac:dyDescent="0.25">
      <c r="A288" s="11">
        <v>10</v>
      </c>
      <c r="B288" s="8" t="s">
        <v>180</v>
      </c>
      <c r="C288" s="7">
        <v>1589</v>
      </c>
      <c r="D288" s="8" t="s">
        <v>114</v>
      </c>
      <c r="E288" s="8" t="s">
        <v>18</v>
      </c>
      <c r="F288" s="8" t="s">
        <v>12</v>
      </c>
      <c r="G288" s="7">
        <v>46000</v>
      </c>
      <c r="H288" s="7">
        <v>40</v>
      </c>
      <c r="I288" s="7">
        <v>40</v>
      </c>
      <c r="J288" s="7">
        <v>11657.96</v>
      </c>
      <c r="K288" s="7">
        <v>8700.7762559999992</v>
      </c>
      <c r="L288" s="7">
        <v>0</v>
      </c>
      <c r="M288" s="7">
        <v>25.37</v>
      </c>
      <c r="N288" s="7">
        <v>39.28</v>
      </c>
      <c r="O288" s="7">
        <v>0</v>
      </c>
      <c r="P288" s="7">
        <v>0</v>
      </c>
      <c r="Q288" s="7">
        <v>0</v>
      </c>
      <c r="R288" s="7">
        <v>0</v>
      </c>
      <c r="S288" s="7">
        <v>9</v>
      </c>
      <c r="T288" s="7">
        <v>21</v>
      </c>
      <c r="U288" s="7">
        <v>21</v>
      </c>
      <c r="V288" s="7">
        <v>87</v>
      </c>
      <c r="W288" s="7">
        <v>8.82</v>
      </c>
      <c r="X288" s="7">
        <v>46000</v>
      </c>
      <c r="Y288" s="7">
        <v>0</v>
      </c>
      <c r="Z288" s="7">
        <v>0</v>
      </c>
      <c r="AA288" s="7">
        <v>0</v>
      </c>
      <c r="AB288" s="7">
        <v>2878</v>
      </c>
      <c r="AC288" s="7">
        <v>631000</v>
      </c>
      <c r="AD288" s="7">
        <v>631000</v>
      </c>
      <c r="AE288" s="7">
        <v>388326.45</v>
      </c>
      <c r="AF288" s="7">
        <v>463</v>
      </c>
      <c r="AG288" s="7">
        <v>410</v>
      </c>
      <c r="AH288" s="12">
        <v>463</v>
      </c>
    </row>
    <row r="289" spans="1:34" ht="21" hidden="1" x14ac:dyDescent="0.25">
      <c r="A289" s="11">
        <v>20</v>
      </c>
      <c r="B289" s="8" t="s">
        <v>30</v>
      </c>
      <c r="C289" s="7">
        <v>1590</v>
      </c>
      <c r="D289" s="8" t="s">
        <v>82</v>
      </c>
      <c r="E289" s="8" t="s">
        <v>18</v>
      </c>
      <c r="F289" s="8" t="s">
        <v>12</v>
      </c>
      <c r="G289" s="7">
        <v>46000</v>
      </c>
      <c r="H289" s="7">
        <v>40</v>
      </c>
      <c r="I289" s="7">
        <v>40</v>
      </c>
      <c r="J289" s="7">
        <v>43727.11</v>
      </c>
      <c r="K289" s="7">
        <v>32685.550991</v>
      </c>
      <c r="L289" s="7">
        <v>0</v>
      </c>
      <c r="M289" s="7">
        <v>25.25</v>
      </c>
      <c r="N289" s="7">
        <v>51.5</v>
      </c>
      <c r="O289" s="7">
        <v>419999.02</v>
      </c>
      <c r="P289" s="7">
        <v>316673.86645799997</v>
      </c>
      <c r="Q289" s="7">
        <v>0</v>
      </c>
      <c r="R289" s="7">
        <v>24.6</v>
      </c>
      <c r="S289" s="7">
        <v>13</v>
      </c>
      <c r="T289" s="7">
        <v>21</v>
      </c>
      <c r="U289" s="7">
        <v>21</v>
      </c>
      <c r="V289" s="7">
        <v>82</v>
      </c>
      <c r="W289" s="7">
        <v>5.88</v>
      </c>
      <c r="X289" s="7">
        <v>46000</v>
      </c>
      <c r="Y289" s="7">
        <v>82.88</v>
      </c>
      <c r="Z289" s="7">
        <v>2</v>
      </c>
      <c r="AA289" s="7">
        <v>33.020000000000003</v>
      </c>
      <c r="AB289" s="7">
        <v>2878</v>
      </c>
      <c r="AC289" s="7">
        <v>307000</v>
      </c>
      <c r="AD289" s="7">
        <v>307000</v>
      </c>
      <c r="AE289" s="7">
        <v>161835.67000000001</v>
      </c>
      <c r="AF289" s="7">
        <v>260</v>
      </c>
      <c r="AG289" s="7">
        <v>111</v>
      </c>
      <c r="AH289" s="12">
        <v>260</v>
      </c>
    </row>
    <row r="290" spans="1:34" ht="21" hidden="1" x14ac:dyDescent="0.25">
      <c r="A290" s="11">
        <v>10</v>
      </c>
      <c r="B290" s="8" t="s">
        <v>180</v>
      </c>
      <c r="C290" s="7">
        <v>1591</v>
      </c>
      <c r="D290" s="8" t="s">
        <v>115</v>
      </c>
      <c r="E290" s="8" t="s">
        <v>18</v>
      </c>
      <c r="F290" s="8" t="s">
        <v>12</v>
      </c>
      <c r="G290" s="7">
        <v>70000</v>
      </c>
      <c r="H290" s="7">
        <v>50</v>
      </c>
      <c r="I290" s="7">
        <v>50</v>
      </c>
      <c r="J290" s="7">
        <v>28781.35</v>
      </c>
      <c r="K290" s="7">
        <v>21670.808722999998</v>
      </c>
      <c r="L290" s="7">
        <v>0</v>
      </c>
      <c r="M290" s="7">
        <v>24.71</v>
      </c>
      <c r="N290" s="7">
        <v>18.71</v>
      </c>
      <c r="O290" s="7">
        <v>0</v>
      </c>
      <c r="P290" s="7">
        <v>0</v>
      </c>
      <c r="Q290" s="7">
        <v>0</v>
      </c>
      <c r="R290" s="7">
        <v>0</v>
      </c>
      <c r="S290" s="7">
        <v>35</v>
      </c>
      <c r="T290" s="7">
        <v>21</v>
      </c>
      <c r="U290" s="7">
        <v>21</v>
      </c>
      <c r="V290" s="7">
        <v>337</v>
      </c>
      <c r="W290" s="7">
        <v>13.6</v>
      </c>
      <c r="X290" s="7">
        <v>70000</v>
      </c>
      <c r="Y290" s="7">
        <v>422.15</v>
      </c>
      <c r="Z290" s="7">
        <v>1</v>
      </c>
      <c r="AA290" s="7">
        <v>0</v>
      </c>
      <c r="AB290" s="7">
        <v>2878</v>
      </c>
      <c r="AC290" s="7">
        <v>631000</v>
      </c>
      <c r="AD290" s="7">
        <v>631000</v>
      </c>
      <c r="AE290" s="7">
        <v>388326.45</v>
      </c>
      <c r="AF290" s="7">
        <v>463</v>
      </c>
      <c r="AG290" s="7">
        <v>410</v>
      </c>
      <c r="AH290" s="12">
        <v>463</v>
      </c>
    </row>
    <row r="291" spans="1:34" ht="21" hidden="1" x14ac:dyDescent="0.25">
      <c r="A291" s="11">
        <v>5</v>
      </c>
      <c r="B291" s="8" t="s">
        <v>143</v>
      </c>
      <c r="C291" s="7">
        <v>1593</v>
      </c>
      <c r="D291" s="8" t="s">
        <v>122</v>
      </c>
      <c r="E291" s="8" t="s">
        <v>18</v>
      </c>
      <c r="F291" s="8" t="s">
        <v>12</v>
      </c>
      <c r="G291" s="7">
        <v>120000</v>
      </c>
      <c r="H291" s="7">
        <v>50</v>
      </c>
      <c r="I291" s="7">
        <v>50</v>
      </c>
      <c r="J291" s="7">
        <v>117652.5</v>
      </c>
      <c r="K291" s="7">
        <v>88094.441239000007</v>
      </c>
      <c r="L291" s="7">
        <v>0</v>
      </c>
      <c r="M291" s="7">
        <v>25.12</v>
      </c>
      <c r="N291" s="7">
        <v>34.53</v>
      </c>
      <c r="O291" s="7">
        <v>262785.44</v>
      </c>
      <c r="P291" s="7">
        <v>201080.285252</v>
      </c>
      <c r="Q291" s="7">
        <v>0</v>
      </c>
      <c r="R291" s="7">
        <v>23.48</v>
      </c>
      <c r="S291" s="7">
        <v>52</v>
      </c>
      <c r="T291" s="7">
        <v>21</v>
      </c>
      <c r="U291" s="7">
        <v>21</v>
      </c>
      <c r="V291" s="7">
        <v>519</v>
      </c>
      <c r="W291" s="7">
        <v>11.34</v>
      </c>
      <c r="X291" s="7">
        <v>120000</v>
      </c>
      <c r="Y291" s="7">
        <v>0</v>
      </c>
      <c r="Z291" s="7">
        <v>0</v>
      </c>
      <c r="AA291" s="7">
        <v>24.18</v>
      </c>
      <c r="AB291" s="7">
        <v>2878</v>
      </c>
      <c r="AC291" s="7">
        <v>450000</v>
      </c>
      <c r="AD291" s="7">
        <v>450000</v>
      </c>
      <c r="AE291" s="7">
        <v>299960.98</v>
      </c>
      <c r="AF291" s="7">
        <v>200</v>
      </c>
      <c r="AG291" s="7">
        <v>100</v>
      </c>
      <c r="AH291" s="12">
        <v>200</v>
      </c>
    </row>
    <row r="292" spans="1:34" ht="21" hidden="1" x14ac:dyDescent="0.25">
      <c r="A292" s="11">
        <v>12</v>
      </c>
      <c r="B292" s="8" t="s">
        <v>14</v>
      </c>
      <c r="C292" s="7">
        <v>1594</v>
      </c>
      <c r="D292" s="8" t="s">
        <v>123</v>
      </c>
      <c r="E292" s="8" t="s">
        <v>18</v>
      </c>
      <c r="F292" s="8" t="s">
        <v>12</v>
      </c>
      <c r="G292" s="7">
        <v>50000</v>
      </c>
      <c r="H292" s="7">
        <v>60</v>
      </c>
      <c r="I292" s="7">
        <v>60</v>
      </c>
      <c r="J292" s="7">
        <v>28994.880000000001</v>
      </c>
      <c r="K292" s="7">
        <v>21578.890558999999</v>
      </c>
      <c r="L292" s="7">
        <v>0</v>
      </c>
      <c r="M292" s="7">
        <v>25.58</v>
      </c>
      <c r="N292" s="7">
        <v>16.82</v>
      </c>
      <c r="O292" s="7">
        <v>341385.34</v>
      </c>
      <c r="P292" s="7">
        <v>256949.644531</v>
      </c>
      <c r="Q292" s="7">
        <v>0</v>
      </c>
      <c r="R292" s="7">
        <v>24.73</v>
      </c>
      <c r="S292" s="7">
        <v>33</v>
      </c>
      <c r="T292" s="7">
        <v>21</v>
      </c>
      <c r="U292" s="7">
        <v>21</v>
      </c>
      <c r="V292" s="7">
        <v>220</v>
      </c>
      <c r="W292" s="7">
        <v>9.26</v>
      </c>
      <c r="X292" s="7">
        <v>50000</v>
      </c>
      <c r="Y292" s="7">
        <v>6563.41</v>
      </c>
      <c r="Z292" s="7">
        <v>4</v>
      </c>
      <c r="AA292" s="7">
        <v>29.95</v>
      </c>
      <c r="AB292" s="7">
        <v>2878</v>
      </c>
      <c r="AC292" s="7">
        <v>665000</v>
      </c>
      <c r="AD292" s="7">
        <v>665000</v>
      </c>
      <c r="AE292" s="7">
        <v>304209.8</v>
      </c>
      <c r="AF292" s="7">
        <v>750</v>
      </c>
      <c r="AG292" s="7">
        <v>397</v>
      </c>
      <c r="AH292" s="12">
        <v>750</v>
      </c>
    </row>
    <row r="293" spans="1:34" ht="21" hidden="1" x14ac:dyDescent="0.25">
      <c r="A293" s="11">
        <v>17</v>
      </c>
      <c r="B293" s="8" t="s">
        <v>16</v>
      </c>
      <c r="C293" s="7">
        <v>1596</v>
      </c>
      <c r="D293" s="8" t="s">
        <v>124</v>
      </c>
      <c r="E293" s="8" t="s">
        <v>18</v>
      </c>
      <c r="F293" s="8" t="s">
        <v>12</v>
      </c>
      <c r="G293" s="7">
        <v>45000</v>
      </c>
      <c r="H293" s="7">
        <v>40</v>
      </c>
      <c r="I293" s="7">
        <v>40</v>
      </c>
      <c r="J293" s="7">
        <v>9656.83</v>
      </c>
      <c r="K293" s="7">
        <v>6308.1885620000003</v>
      </c>
      <c r="L293" s="7">
        <v>0</v>
      </c>
      <c r="M293" s="7">
        <v>34.68</v>
      </c>
      <c r="N293" s="7">
        <v>45.29</v>
      </c>
      <c r="O293" s="7">
        <v>373950.57</v>
      </c>
      <c r="P293" s="7">
        <v>266591.70954100002</v>
      </c>
      <c r="Q293" s="7">
        <v>0</v>
      </c>
      <c r="R293" s="7">
        <v>28.71</v>
      </c>
      <c r="S293" s="7">
        <v>6</v>
      </c>
      <c r="T293" s="7">
        <v>21</v>
      </c>
      <c r="U293" s="7">
        <v>21</v>
      </c>
      <c r="V293" s="7">
        <v>45</v>
      </c>
      <c r="W293" s="7">
        <v>9</v>
      </c>
      <c r="X293" s="7">
        <v>45000</v>
      </c>
      <c r="Y293" s="7">
        <v>0</v>
      </c>
      <c r="Z293" s="7">
        <v>0</v>
      </c>
      <c r="AA293" s="7">
        <v>26</v>
      </c>
      <c r="AB293" s="7">
        <v>2878</v>
      </c>
      <c r="AC293" s="7">
        <v>615000</v>
      </c>
      <c r="AD293" s="7">
        <v>615000</v>
      </c>
      <c r="AE293" s="7">
        <v>383607.4</v>
      </c>
      <c r="AF293" s="7">
        <v>340</v>
      </c>
      <c r="AG293" s="7">
        <v>175</v>
      </c>
      <c r="AH293" s="12">
        <v>340</v>
      </c>
    </row>
    <row r="294" spans="1:34" ht="21" hidden="1" x14ac:dyDescent="0.25">
      <c r="A294" s="11">
        <v>20</v>
      </c>
      <c r="B294" s="8" t="s">
        <v>30</v>
      </c>
      <c r="C294" s="7">
        <v>1597</v>
      </c>
      <c r="D294" s="8" t="s">
        <v>125</v>
      </c>
      <c r="E294" s="8" t="s">
        <v>18</v>
      </c>
      <c r="F294" s="8" t="s">
        <v>12</v>
      </c>
      <c r="G294" s="7">
        <v>47000</v>
      </c>
      <c r="H294" s="7">
        <v>40</v>
      </c>
      <c r="I294" s="7">
        <v>40</v>
      </c>
      <c r="J294" s="7">
        <v>45528.2</v>
      </c>
      <c r="K294" s="7">
        <v>33398.067445000001</v>
      </c>
      <c r="L294" s="7">
        <v>0</v>
      </c>
      <c r="M294" s="7">
        <v>26.64</v>
      </c>
      <c r="N294" s="7">
        <v>30.99</v>
      </c>
      <c r="O294" s="7">
        <v>419999.02</v>
      </c>
      <c r="P294" s="7">
        <v>316673.86645799997</v>
      </c>
      <c r="Q294" s="7">
        <v>0</v>
      </c>
      <c r="R294" s="7">
        <v>24.6</v>
      </c>
      <c r="S294" s="7">
        <v>44</v>
      </c>
      <c r="T294" s="7">
        <v>21</v>
      </c>
      <c r="U294" s="7">
        <v>21</v>
      </c>
      <c r="V294" s="7">
        <v>256</v>
      </c>
      <c r="W294" s="7">
        <v>7.63</v>
      </c>
      <c r="X294" s="7">
        <v>47000</v>
      </c>
      <c r="Y294" s="7">
        <v>1788.31</v>
      </c>
      <c r="Z294" s="7">
        <v>5</v>
      </c>
      <c r="AA294" s="7">
        <v>33.020000000000003</v>
      </c>
      <c r="AB294" s="7">
        <v>2878</v>
      </c>
      <c r="AC294" s="7">
        <v>307000</v>
      </c>
      <c r="AD294" s="7">
        <v>307000</v>
      </c>
      <c r="AE294" s="7">
        <v>161835.67000000001</v>
      </c>
      <c r="AF294" s="7">
        <v>260</v>
      </c>
      <c r="AG294" s="7">
        <v>111</v>
      </c>
      <c r="AH294" s="12">
        <v>260</v>
      </c>
    </row>
    <row r="295" spans="1:34" hidden="1" x14ac:dyDescent="0.25">
      <c r="A295" s="11">
        <v>2</v>
      </c>
      <c r="B295" s="8" t="s">
        <v>10</v>
      </c>
      <c r="C295" s="7">
        <v>1598</v>
      </c>
      <c r="D295" s="8" t="s">
        <v>23</v>
      </c>
      <c r="E295" s="8" t="s">
        <v>18</v>
      </c>
      <c r="F295" s="8" t="s">
        <v>12</v>
      </c>
      <c r="G295" s="7">
        <v>90000</v>
      </c>
      <c r="H295" s="7">
        <v>62</v>
      </c>
      <c r="I295" s="7">
        <v>62</v>
      </c>
      <c r="J295" s="7">
        <v>68274.289999999994</v>
      </c>
      <c r="K295" s="7">
        <v>51376.316816999999</v>
      </c>
      <c r="L295" s="7">
        <v>0</v>
      </c>
      <c r="M295" s="7">
        <v>24.75</v>
      </c>
      <c r="N295" s="7">
        <v>15.36</v>
      </c>
      <c r="O295" s="7">
        <v>846001.61</v>
      </c>
      <c r="P295" s="7">
        <v>637404.95297400001</v>
      </c>
      <c r="Q295" s="7">
        <v>0</v>
      </c>
      <c r="R295" s="7">
        <v>24.66</v>
      </c>
      <c r="S295" s="7">
        <v>68</v>
      </c>
      <c r="T295" s="7">
        <v>21</v>
      </c>
      <c r="U295" s="7">
        <v>21</v>
      </c>
      <c r="V295" s="7">
        <v>507</v>
      </c>
      <c r="W295" s="7">
        <v>13.05</v>
      </c>
      <c r="X295" s="7">
        <v>90000</v>
      </c>
      <c r="Y295" s="7">
        <v>2797.69</v>
      </c>
      <c r="Z295" s="7">
        <v>0</v>
      </c>
      <c r="AA295" s="7">
        <v>21.03</v>
      </c>
      <c r="AB295" s="7">
        <v>2878</v>
      </c>
      <c r="AC295" s="7">
        <v>1279000</v>
      </c>
      <c r="AD295" s="7">
        <v>1279000</v>
      </c>
      <c r="AE295" s="7">
        <v>817160.5</v>
      </c>
      <c r="AF295" s="7">
        <v>815</v>
      </c>
      <c r="AG295" s="7">
        <v>491</v>
      </c>
      <c r="AH295" s="12">
        <v>815</v>
      </c>
    </row>
    <row r="296" spans="1:34" ht="21" hidden="1" x14ac:dyDescent="0.25">
      <c r="A296" s="11">
        <v>20</v>
      </c>
      <c r="B296" s="8" t="s">
        <v>30</v>
      </c>
      <c r="C296" s="7">
        <v>1599</v>
      </c>
      <c r="D296" s="8" t="s">
        <v>126</v>
      </c>
      <c r="E296" s="8" t="s">
        <v>18</v>
      </c>
      <c r="F296" s="8" t="s">
        <v>12</v>
      </c>
      <c r="G296" s="7">
        <v>46000</v>
      </c>
      <c r="H296" s="7">
        <v>40</v>
      </c>
      <c r="I296" s="7">
        <v>40</v>
      </c>
      <c r="J296" s="7">
        <v>27157.48</v>
      </c>
      <c r="K296" s="7">
        <v>20404.796951</v>
      </c>
      <c r="L296" s="7">
        <v>0</v>
      </c>
      <c r="M296" s="7">
        <v>24.86</v>
      </c>
      <c r="N296" s="7">
        <v>38.32</v>
      </c>
      <c r="O296" s="7">
        <v>419999.02</v>
      </c>
      <c r="P296" s="7">
        <v>316673.86645799997</v>
      </c>
      <c r="Q296" s="7">
        <v>0</v>
      </c>
      <c r="R296" s="7">
        <v>24.6</v>
      </c>
      <c r="S296" s="7">
        <v>20</v>
      </c>
      <c r="T296" s="7">
        <v>21</v>
      </c>
      <c r="U296" s="7">
        <v>21</v>
      </c>
      <c r="V296" s="7">
        <v>134</v>
      </c>
      <c r="W296" s="7">
        <v>7.08</v>
      </c>
      <c r="X296" s="7">
        <v>46000</v>
      </c>
      <c r="Y296" s="7">
        <v>17.54</v>
      </c>
      <c r="Z296" s="7">
        <v>7</v>
      </c>
      <c r="AA296" s="7">
        <v>33.020000000000003</v>
      </c>
      <c r="AB296" s="7">
        <v>2878</v>
      </c>
      <c r="AC296" s="7">
        <v>307000</v>
      </c>
      <c r="AD296" s="7">
        <v>307000</v>
      </c>
      <c r="AE296" s="7">
        <v>161835.67000000001</v>
      </c>
      <c r="AF296" s="7">
        <v>260</v>
      </c>
      <c r="AG296" s="7">
        <v>111</v>
      </c>
      <c r="AH296" s="12">
        <v>260</v>
      </c>
    </row>
    <row r="297" spans="1:34" ht="21" hidden="1" x14ac:dyDescent="0.25">
      <c r="A297" s="11">
        <v>17</v>
      </c>
      <c r="B297" s="8" t="s">
        <v>16</v>
      </c>
      <c r="C297" s="7">
        <v>1600</v>
      </c>
      <c r="D297" s="8" t="s">
        <v>81</v>
      </c>
      <c r="E297" s="8" t="s">
        <v>18</v>
      </c>
      <c r="F297" s="8" t="s">
        <v>12</v>
      </c>
      <c r="G297" s="7">
        <v>50000</v>
      </c>
      <c r="H297" s="7">
        <v>40</v>
      </c>
      <c r="I297" s="7">
        <v>40</v>
      </c>
      <c r="J297" s="7">
        <v>29249.15</v>
      </c>
      <c r="K297" s="7">
        <v>21957.995051999998</v>
      </c>
      <c r="L297" s="7">
        <v>0</v>
      </c>
      <c r="M297" s="7">
        <v>24.93</v>
      </c>
      <c r="N297" s="7">
        <v>50</v>
      </c>
      <c r="O297" s="7">
        <v>373950.57</v>
      </c>
      <c r="P297" s="7">
        <v>266591.70954100002</v>
      </c>
      <c r="Q297" s="7">
        <v>0</v>
      </c>
      <c r="R297" s="7">
        <v>28.71</v>
      </c>
      <c r="S297" s="7">
        <v>10</v>
      </c>
      <c r="T297" s="7">
        <v>21</v>
      </c>
      <c r="U297" s="7">
        <v>21</v>
      </c>
      <c r="V297" s="7">
        <v>88</v>
      </c>
      <c r="W297" s="7">
        <v>8.83</v>
      </c>
      <c r="X297" s="7">
        <v>50000</v>
      </c>
      <c r="Y297" s="7">
        <v>0</v>
      </c>
      <c r="Z297" s="7">
        <v>1</v>
      </c>
      <c r="AA297" s="7">
        <v>26</v>
      </c>
      <c r="AB297" s="7">
        <v>2878</v>
      </c>
      <c r="AC297" s="7">
        <v>615000</v>
      </c>
      <c r="AD297" s="7">
        <v>615000</v>
      </c>
      <c r="AE297" s="7">
        <v>383607.4</v>
      </c>
      <c r="AF297" s="7">
        <v>340</v>
      </c>
      <c r="AG297" s="7">
        <v>175</v>
      </c>
      <c r="AH297" s="12">
        <v>340</v>
      </c>
    </row>
    <row r="298" spans="1:34" ht="21" hidden="1" x14ac:dyDescent="0.25">
      <c r="A298" s="11">
        <v>17</v>
      </c>
      <c r="B298" s="8" t="s">
        <v>16</v>
      </c>
      <c r="C298" s="7">
        <v>1601</v>
      </c>
      <c r="D298" s="8" t="s">
        <v>130</v>
      </c>
      <c r="E298" s="8" t="s">
        <v>18</v>
      </c>
      <c r="F298" s="8" t="s">
        <v>12</v>
      </c>
      <c r="G298" s="7">
        <v>30000</v>
      </c>
      <c r="H298" s="7">
        <v>20</v>
      </c>
      <c r="I298" s="7">
        <v>20</v>
      </c>
      <c r="J298" s="7">
        <v>28128.13</v>
      </c>
      <c r="K298" s="7">
        <v>19574.609873000001</v>
      </c>
      <c r="L298" s="7">
        <v>0</v>
      </c>
      <c r="M298" s="7">
        <v>30.41</v>
      </c>
      <c r="N298" s="7">
        <v>26.73</v>
      </c>
      <c r="O298" s="7">
        <v>373950.57</v>
      </c>
      <c r="P298" s="7">
        <v>266591.70954100002</v>
      </c>
      <c r="Q298" s="7">
        <v>0</v>
      </c>
      <c r="R298" s="7">
        <v>28.71</v>
      </c>
      <c r="S298" s="7">
        <v>17</v>
      </c>
      <c r="T298" s="7">
        <v>21</v>
      </c>
      <c r="U298" s="7">
        <v>21</v>
      </c>
      <c r="V298" s="7">
        <v>202</v>
      </c>
      <c r="W298" s="7">
        <v>16.63</v>
      </c>
      <c r="X298" s="7">
        <v>30000</v>
      </c>
      <c r="Y298" s="7">
        <v>0</v>
      </c>
      <c r="Z298" s="7">
        <v>1</v>
      </c>
      <c r="AA298" s="7">
        <v>26</v>
      </c>
      <c r="AB298" s="7">
        <v>2878</v>
      </c>
      <c r="AC298" s="7">
        <v>615000</v>
      </c>
      <c r="AD298" s="7">
        <v>615000</v>
      </c>
      <c r="AE298" s="7">
        <v>383607.4</v>
      </c>
      <c r="AF298" s="7">
        <v>340</v>
      </c>
      <c r="AG298" s="7">
        <v>175</v>
      </c>
      <c r="AH298" s="12">
        <v>340</v>
      </c>
    </row>
    <row r="299" spans="1:34" ht="21" hidden="1" x14ac:dyDescent="0.25">
      <c r="A299" s="11">
        <v>6</v>
      </c>
      <c r="B299" s="8" t="s">
        <v>142</v>
      </c>
      <c r="C299" s="7">
        <v>1602</v>
      </c>
      <c r="D299" s="8" t="s">
        <v>131</v>
      </c>
      <c r="E299" s="8" t="s">
        <v>18</v>
      </c>
      <c r="F299" s="8" t="s">
        <v>12</v>
      </c>
      <c r="G299" s="7">
        <v>25000</v>
      </c>
      <c r="H299" s="7">
        <v>20</v>
      </c>
      <c r="I299" s="7">
        <v>20</v>
      </c>
      <c r="J299" s="7">
        <v>1523.69</v>
      </c>
      <c r="K299" s="7">
        <v>1111.4457050000001</v>
      </c>
      <c r="L299" s="7">
        <v>0</v>
      </c>
      <c r="M299" s="7">
        <v>27.06</v>
      </c>
      <c r="N299" s="7">
        <v>10.78</v>
      </c>
      <c r="O299" s="7">
        <v>745236.54</v>
      </c>
      <c r="P299" s="7">
        <v>557606.39015999995</v>
      </c>
      <c r="Q299" s="7">
        <v>0</v>
      </c>
      <c r="R299" s="7">
        <v>25.18</v>
      </c>
      <c r="S299" s="7">
        <v>3</v>
      </c>
      <c r="T299" s="7">
        <v>21</v>
      </c>
      <c r="U299" s="7">
        <v>21</v>
      </c>
      <c r="V299" s="7">
        <v>25</v>
      </c>
      <c r="W299" s="7">
        <v>8.33</v>
      </c>
      <c r="X299" s="7">
        <v>25000</v>
      </c>
      <c r="Y299" s="7">
        <v>0</v>
      </c>
      <c r="Z299" s="7">
        <v>0</v>
      </c>
      <c r="AA299" s="7">
        <v>21.43</v>
      </c>
      <c r="AB299" s="7">
        <v>2878</v>
      </c>
      <c r="AC299" s="7">
        <v>1045000</v>
      </c>
      <c r="AD299" s="7">
        <v>1045000</v>
      </c>
      <c r="AE299" s="7">
        <v>712884.96</v>
      </c>
      <c r="AF299" s="7">
        <v>862</v>
      </c>
      <c r="AG299" s="7">
        <v>676</v>
      </c>
      <c r="AH299" s="12">
        <v>862</v>
      </c>
    </row>
    <row r="300" spans="1:34" ht="21" hidden="1" x14ac:dyDescent="0.25">
      <c r="A300" s="11">
        <v>4</v>
      </c>
      <c r="B300" s="8" t="s">
        <v>15</v>
      </c>
      <c r="C300" s="7">
        <v>1604</v>
      </c>
      <c r="D300" s="8" t="s">
        <v>132</v>
      </c>
      <c r="E300" s="8" t="s">
        <v>18</v>
      </c>
      <c r="F300" s="8" t="s">
        <v>12</v>
      </c>
      <c r="G300" s="7">
        <v>25000</v>
      </c>
      <c r="H300" s="7">
        <v>20</v>
      </c>
      <c r="I300" s="7">
        <v>20</v>
      </c>
      <c r="J300" s="7">
        <v>16000.72</v>
      </c>
      <c r="K300" s="7">
        <v>10639.356336000001</v>
      </c>
      <c r="L300" s="7">
        <v>0</v>
      </c>
      <c r="M300" s="7">
        <v>33.51</v>
      </c>
      <c r="N300" s="7">
        <v>30.04</v>
      </c>
      <c r="O300" s="7">
        <v>605747.14</v>
      </c>
      <c r="P300" s="7">
        <v>440429.91221899999</v>
      </c>
      <c r="Q300" s="7">
        <v>0</v>
      </c>
      <c r="R300" s="7">
        <v>27.29</v>
      </c>
      <c r="S300" s="7">
        <v>18</v>
      </c>
      <c r="T300" s="7">
        <v>21</v>
      </c>
      <c r="U300" s="7">
        <v>21</v>
      </c>
      <c r="V300" s="7">
        <v>116</v>
      </c>
      <c r="W300" s="7">
        <v>8.11</v>
      </c>
      <c r="X300" s="7">
        <v>25000</v>
      </c>
      <c r="Y300" s="7">
        <v>0</v>
      </c>
      <c r="Z300" s="7">
        <v>0</v>
      </c>
      <c r="AA300" s="7">
        <v>22.14</v>
      </c>
      <c r="AB300" s="7">
        <v>2878</v>
      </c>
      <c r="AC300" s="7">
        <v>805000</v>
      </c>
      <c r="AD300" s="7">
        <v>805000</v>
      </c>
      <c r="AE300" s="7">
        <v>672054.7</v>
      </c>
      <c r="AF300" s="7">
        <v>523</v>
      </c>
      <c r="AG300" s="7">
        <v>450</v>
      </c>
      <c r="AH300" s="12">
        <v>523</v>
      </c>
    </row>
    <row r="301" spans="1:34" ht="21" hidden="1" x14ac:dyDescent="0.25">
      <c r="A301" s="11">
        <v>10</v>
      </c>
      <c r="B301" s="8" t="s">
        <v>180</v>
      </c>
      <c r="C301" s="7">
        <v>1605</v>
      </c>
      <c r="D301" s="8" t="s">
        <v>133</v>
      </c>
      <c r="E301" s="8" t="s">
        <v>18</v>
      </c>
      <c r="F301" s="8" t="s">
        <v>12</v>
      </c>
      <c r="G301" s="7">
        <v>70000</v>
      </c>
      <c r="H301" s="7">
        <v>38</v>
      </c>
      <c r="I301" s="7">
        <v>38</v>
      </c>
      <c r="J301" s="7">
        <v>49820.24</v>
      </c>
      <c r="K301" s="7">
        <v>36394.170365999998</v>
      </c>
      <c r="L301" s="7">
        <v>0</v>
      </c>
      <c r="M301" s="7">
        <v>26.95</v>
      </c>
      <c r="N301" s="7">
        <v>33.04</v>
      </c>
      <c r="O301" s="7">
        <v>0</v>
      </c>
      <c r="P301" s="7">
        <v>0</v>
      </c>
      <c r="Q301" s="7">
        <v>0</v>
      </c>
      <c r="R301" s="7">
        <v>0</v>
      </c>
      <c r="S301" s="7">
        <v>41</v>
      </c>
      <c r="T301" s="7">
        <v>21</v>
      </c>
      <c r="U301" s="7">
        <v>21</v>
      </c>
      <c r="V301" s="7">
        <v>201</v>
      </c>
      <c r="W301" s="7">
        <v>10.56</v>
      </c>
      <c r="X301" s="7">
        <v>70000</v>
      </c>
      <c r="Y301" s="7">
        <v>29.06</v>
      </c>
      <c r="Z301" s="7">
        <v>1</v>
      </c>
      <c r="AA301" s="7">
        <v>0</v>
      </c>
      <c r="AB301" s="7">
        <v>2878</v>
      </c>
      <c r="AC301" s="7">
        <v>631000</v>
      </c>
      <c r="AD301" s="7">
        <v>631000</v>
      </c>
      <c r="AE301" s="7">
        <v>388326.45</v>
      </c>
      <c r="AF301" s="7">
        <v>463</v>
      </c>
      <c r="AG301" s="7">
        <v>410</v>
      </c>
      <c r="AH301" s="12">
        <v>463</v>
      </c>
    </row>
    <row r="302" spans="1:34" ht="21" hidden="1" x14ac:dyDescent="0.25">
      <c r="A302" s="11">
        <v>5</v>
      </c>
      <c r="B302" s="8" t="s">
        <v>143</v>
      </c>
      <c r="C302" s="7">
        <v>1606</v>
      </c>
      <c r="D302" s="8" t="s">
        <v>134</v>
      </c>
      <c r="E302" s="8" t="s">
        <v>18</v>
      </c>
      <c r="F302" s="8" t="s">
        <v>12</v>
      </c>
      <c r="G302" s="7">
        <v>35000</v>
      </c>
      <c r="H302" s="7">
        <v>40</v>
      </c>
      <c r="I302" s="7">
        <v>40</v>
      </c>
      <c r="J302" s="7">
        <v>3646.01</v>
      </c>
      <c r="K302" s="7">
        <v>2672.4997330000001</v>
      </c>
      <c r="L302" s="7">
        <v>0</v>
      </c>
      <c r="M302" s="7">
        <v>26.7</v>
      </c>
      <c r="N302" s="7">
        <v>8.9600000000000009</v>
      </c>
      <c r="O302" s="7">
        <v>262785.44</v>
      </c>
      <c r="P302" s="7">
        <v>201080.285252</v>
      </c>
      <c r="Q302" s="7">
        <v>0</v>
      </c>
      <c r="R302" s="7">
        <v>23.48</v>
      </c>
      <c r="S302" s="7">
        <v>8</v>
      </c>
      <c r="T302" s="7">
        <v>21</v>
      </c>
      <c r="U302" s="7">
        <v>21</v>
      </c>
      <c r="V302" s="7">
        <v>57</v>
      </c>
      <c r="W302" s="7">
        <v>7.78</v>
      </c>
      <c r="X302" s="7">
        <v>35000</v>
      </c>
      <c r="Y302" s="7">
        <v>40.56</v>
      </c>
      <c r="Z302" s="7">
        <v>0</v>
      </c>
      <c r="AA302" s="7">
        <v>24.18</v>
      </c>
      <c r="AB302" s="7">
        <v>2878</v>
      </c>
      <c r="AC302" s="7">
        <v>450000</v>
      </c>
      <c r="AD302" s="7">
        <v>450000</v>
      </c>
      <c r="AE302" s="7">
        <v>299960.98</v>
      </c>
      <c r="AF302" s="7">
        <v>200</v>
      </c>
      <c r="AG302" s="7">
        <v>100</v>
      </c>
      <c r="AH302" s="12">
        <v>200</v>
      </c>
    </row>
    <row r="303" spans="1:34" ht="21" hidden="1" x14ac:dyDescent="0.25">
      <c r="A303" s="11">
        <v>17</v>
      </c>
      <c r="B303" s="8" t="s">
        <v>16</v>
      </c>
      <c r="C303" s="7">
        <v>1607</v>
      </c>
      <c r="D303" s="8" t="s">
        <v>135</v>
      </c>
      <c r="E303" s="8" t="s">
        <v>18</v>
      </c>
      <c r="F303" s="8" t="s">
        <v>12</v>
      </c>
      <c r="G303" s="7">
        <v>25000</v>
      </c>
      <c r="H303" s="7">
        <v>25</v>
      </c>
      <c r="I303" s="7">
        <v>25</v>
      </c>
      <c r="J303" s="7">
        <v>3703.47</v>
      </c>
      <c r="K303" s="7">
        <v>2660.795552</v>
      </c>
      <c r="L303" s="7">
        <v>0</v>
      </c>
      <c r="M303" s="7">
        <v>28.15</v>
      </c>
      <c r="N303" s="7">
        <v>21</v>
      </c>
      <c r="O303" s="7">
        <v>373950.57</v>
      </c>
      <c r="P303" s="7">
        <v>266591.70954100002</v>
      </c>
      <c r="Q303" s="7">
        <v>0</v>
      </c>
      <c r="R303" s="7">
        <v>28.71</v>
      </c>
      <c r="S303" s="7">
        <v>4</v>
      </c>
      <c r="T303" s="7">
        <v>21</v>
      </c>
      <c r="U303" s="7">
        <v>21</v>
      </c>
      <c r="V303" s="7">
        <v>45</v>
      </c>
      <c r="W303" s="7">
        <v>11.25</v>
      </c>
      <c r="X303" s="7">
        <v>25000</v>
      </c>
      <c r="Y303" s="7">
        <v>0</v>
      </c>
      <c r="Z303" s="7">
        <v>0</v>
      </c>
      <c r="AA303" s="7">
        <v>26</v>
      </c>
      <c r="AB303" s="7">
        <v>2878</v>
      </c>
      <c r="AC303" s="7">
        <v>615000</v>
      </c>
      <c r="AD303" s="7">
        <v>615000</v>
      </c>
      <c r="AE303" s="7">
        <v>383607.4</v>
      </c>
      <c r="AF303" s="7">
        <v>340</v>
      </c>
      <c r="AG303" s="7">
        <v>175</v>
      </c>
      <c r="AH303" s="12">
        <v>340</v>
      </c>
    </row>
    <row r="304" spans="1:34" hidden="1" x14ac:dyDescent="0.25">
      <c r="A304" s="11">
        <v>2</v>
      </c>
      <c r="B304" s="8" t="s">
        <v>10</v>
      </c>
      <c r="C304" s="7">
        <v>28</v>
      </c>
      <c r="D304" s="8" t="s">
        <v>98</v>
      </c>
      <c r="E304" s="8" t="s">
        <v>19</v>
      </c>
      <c r="F304" s="8" t="s">
        <v>12</v>
      </c>
      <c r="G304" s="7">
        <v>158000</v>
      </c>
      <c r="H304" s="7">
        <v>117</v>
      </c>
      <c r="I304" s="7">
        <v>117</v>
      </c>
      <c r="J304" s="7">
        <v>0</v>
      </c>
      <c r="K304" s="7">
        <v>3657.2869190000001</v>
      </c>
      <c r="L304" s="7">
        <v>0</v>
      </c>
      <c r="M304" s="7">
        <v>0</v>
      </c>
      <c r="N304" s="7">
        <v>1</v>
      </c>
      <c r="O304" s="7">
        <v>1080228.3700000001</v>
      </c>
      <c r="P304" s="7">
        <v>810319.896007</v>
      </c>
      <c r="Q304" s="7">
        <v>0</v>
      </c>
      <c r="R304" s="7">
        <v>24.99</v>
      </c>
      <c r="S304" s="7">
        <v>0</v>
      </c>
      <c r="T304" s="7">
        <v>22</v>
      </c>
      <c r="U304" s="7">
        <v>22</v>
      </c>
      <c r="V304" s="7">
        <v>31</v>
      </c>
      <c r="W304" s="7">
        <v>1.43</v>
      </c>
      <c r="X304" s="7">
        <v>158000</v>
      </c>
      <c r="Y304" s="7">
        <v>0</v>
      </c>
      <c r="Z304" s="7">
        <v>0</v>
      </c>
      <c r="AA304" s="7">
        <v>21.61</v>
      </c>
      <c r="AB304" s="7">
        <v>2648</v>
      </c>
      <c r="AC304" s="7">
        <v>1126000</v>
      </c>
      <c r="AD304" s="7">
        <v>1126000</v>
      </c>
      <c r="AE304" s="7">
        <v>949839.12</v>
      </c>
      <c r="AF304" s="7">
        <v>760</v>
      </c>
      <c r="AG304" s="7">
        <v>477</v>
      </c>
      <c r="AH304" s="12">
        <v>760</v>
      </c>
    </row>
    <row r="305" spans="1:34" ht="21" hidden="1" x14ac:dyDescent="0.25">
      <c r="A305" s="11">
        <v>10</v>
      </c>
      <c r="B305" s="8" t="s">
        <v>180</v>
      </c>
      <c r="C305" s="7">
        <v>314</v>
      </c>
      <c r="D305" s="8" t="s">
        <v>42</v>
      </c>
      <c r="E305" s="8" t="s">
        <v>19</v>
      </c>
      <c r="F305" s="8" t="s">
        <v>12</v>
      </c>
      <c r="G305" s="7">
        <v>90000</v>
      </c>
      <c r="H305" s="7">
        <v>65</v>
      </c>
      <c r="I305" s="7">
        <v>65</v>
      </c>
      <c r="J305" s="7">
        <v>68653.86</v>
      </c>
      <c r="K305" s="7">
        <v>51172.691554999998</v>
      </c>
      <c r="L305" s="7">
        <v>0</v>
      </c>
      <c r="M305" s="7">
        <v>25.46</v>
      </c>
      <c r="N305" s="7">
        <v>19.739999999999998</v>
      </c>
      <c r="O305" s="7">
        <v>0</v>
      </c>
      <c r="P305" s="7">
        <v>0</v>
      </c>
      <c r="Q305" s="7">
        <v>0</v>
      </c>
      <c r="R305" s="7">
        <v>0</v>
      </c>
      <c r="S305" s="7">
        <v>75</v>
      </c>
      <c r="T305" s="7">
        <v>22</v>
      </c>
      <c r="U305" s="7">
        <v>22</v>
      </c>
      <c r="V305" s="7">
        <v>309</v>
      </c>
      <c r="W305" s="7">
        <v>7.85</v>
      </c>
      <c r="X305" s="7">
        <v>90000</v>
      </c>
      <c r="Y305" s="7">
        <v>665.55</v>
      </c>
      <c r="Z305" s="7">
        <v>4</v>
      </c>
      <c r="AA305" s="7">
        <v>0</v>
      </c>
      <c r="AB305" s="7">
        <v>2648</v>
      </c>
      <c r="AC305" s="7">
        <v>610000</v>
      </c>
      <c r="AD305" s="7">
        <v>610000</v>
      </c>
      <c r="AE305" s="7">
        <v>494578.26</v>
      </c>
      <c r="AF305" s="7">
        <v>471</v>
      </c>
      <c r="AG305" s="7">
        <v>461</v>
      </c>
      <c r="AH305" s="12">
        <v>471</v>
      </c>
    </row>
    <row r="306" spans="1:34" ht="21" hidden="1" x14ac:dyDescent="0.25">
      <c r="A306" s="11">
        <v>4</v>
      </c>
      <c r="B306" s="8" t="s">
        <v>15</v>
      </c>
      <c r="C306" s="7">
        <v>374</v>
      </c>
      <c r="D306" s="8" t="s">
        <v>144</v>
      </c>
      <c r="E306" s="8" t="s">
        <v>19</v>
      </c>
      <c r="F306" s="8" t="s">
        <v>12</v>
      </c>
      <c r="G306" s="7">
        <v>132000</v>
      </c>
      <c r="H306" s="7">
        <v>80</v>
      </c>
      <c r="I306" s="7">
        <v>80</v>
      </c>
      <c r="J306" s="7">
        <v>1476</v>
      </c>
      <c r="K306" s="7">
        <v>2357.7985349999999</v>
      </c>
      <c r="L306" s="7">
        <v>0</v>
      </c>
      <c r="M306" s="7">
        <v>-59.74</v>
      </c>
      <c r="N306" s="7">
        <v>15.54</v>
      </c>
      <c r="O306" s="7">
        <v>519906.67</v>
      </c>
      <c r="P306" s="7">
        <v>377617.25475399999</v>
      </c>
      <c r="Q306" s="7">
        <v>0</v>
      </c>
      <c r="R306" s="7">
        <v>27.37</v>
      </c>
      <c r="S306" s="7">
        <v>1</v>
      </c>
      <c r="T306" s="7">
        <v>22</v>
      </c>
      <c r="U306" s="7">
        <v>22</v>
      </c>
      <c r="V306" s="7">
        <v>26</v>
      </c>
      <c r="W306" s="7">
        <v>1.38</v>
      </c>
      <c r="X306" s="7">
        <v>132000</v>
      </c>
      <c r="Y306" s="7">
        <v>0</v>
      </c>
      <c r="Z306" s="7">
        <v>1</v>
      </c>
      <c r="AA306" s="7">
        <v>24.16</v>
      </c>
      <c r="AB306" s="7">
        <v>2648</v>
      </c>
      <c r="AC306" s="7">
        <v>721000</v>
      </c>
      <c r="AD306" s="7">
        <v>721000</v>
      </c>
      <c r="AE306" s="7">
        <v>519906.67</v>
      </c>
      <c r="AF306" s="7">
        <v>463</v>
      </c>
      <c r="AG306" s="7">
        <v>327</v>
      </c>
      <c r="AH306" s="12">
        <v>463</v>
      </c>
    </row>
    <row r="307" spans="1:34" hidden="1" x14ac:dyDescent="0.25">
      <c r="A307" s="11">
        <v>2</v>
      </c>
      <c r="B307" s="8" t="s">
        <v>10</v>
      </c>
      <c r="C307" s="7">
        <v>423</v>
      </c>
      <c r="D307" s="8" t="s">
        <v>43</v>
      </c>
      <c r="E307" s="8" t="s">
        <v>19</v>
      </c>
      <c r="F307" s="8" t="s">
        <v>12</v>
      </c>
      <c r="G307" s="7">
        <v>100000</v>
      </c>
      <c r="H307" s="7">
        <v>70</v>
      </c>
      <c r="I307" s="7">
        <v>70</v>
      </c>
      <c r="J307" s="7">
        <v>103378.62</v>
      </c>
      <c r="K307" s="7">
        <v>75291.815705999994</v>
      </c>
      <c r="L307" s="7">
        <v>0</v>
      </c>
      <c r="M307" s="7">
        <v>27.17</v>
      </c>
      <c r="N307" s="7">
        <v>16.93</v>
      </c>
      <c r="O307" s="7">
        <v>1080228.3700000001</v>
      </c>
      <c r="P307" s="7">
        <v>810319.896007</v>
      </c>
      <c r="Q307" s="7">
        <v>0</v>
      </c>
      <c r="R307" s="7">
        <v>24.99</v>
      </c>
      <c r="S307" s="7">
        <v>52</v>
      </c>
      <c r="T307" s="7">
        <v>22</v>
      </c>
      <c r="U307" s="7">
        <v>22</v>
      </c>
      <c r="V307" s="7">
        <v>379</v>
      </c>
      <c r="W307" s="7">
        <v>11.28</v>
      </c>
      <c r="X307" s="7">
        <v>100000</v>
      </c>
      <c r="Y307" s="7">
        <v>404.99</v>
      </c>
      <c r="Z307" s="7">
        <v>1</v>
      </c>
      <c r="AA307" s="7">
        <v>21.61</v>
      </c>
      <c r="AB307" s="7">
        <v>2648</v>
      </c>
      <c r="AC307" s="7">
        <v>1126000</v>
      </c>
      <c r="AD307" s="7">
        <v>1126000</v>
      </c>
      <c r="AE307" s="7">
        <v>949839.12</v>
      </c>
      <c r="AF307" s="7">
        <v>760</v>
      </c>
      <c r="AG307" s="7">
        <v>477</v>
      </c>
      <c r="AH307" s="12">
        <v>760</v>
      </c>
    </row>
    <row r="308" spans="1:34" ht="21" hidden="1" x14ac:dyDescent="0.25">
      <c r="A308" s="11">
        <v>6</v>
      </c>
      <c r="B308" s="8" t="s">
        <v>142</v>
      </c>
      <c r="C308" s="7">
        <v>465</v>
      </c>
      <c r="D308" s="8" t="s">
        <v>44</v>
      </c>
      <c r="E308" s="8" t="s">
        <v>19</v>
      </c>
      <c r="F308" s="8" t="s">
        <v>12</v>
      </c>
      <c r="G308" s="7">
        <v>85000</v>
      </c>
      <c r="H308" s="7">
        <v>82</v>
      </c>
      <c r="I308" s="7">
        <v>82</v>
      </c>
      <c r="J308" s="7">
        <v>87853.3</v>
      </c>
      <c r="K308" s="7">
        <v>66350.727528999996</v>
      </c>
      <c r="L308" s="7">
        <v>0</v>
      </c>
      <c r="M308" s="7">
        <v>24.48</v>
      </c>
      <c r="N308" s="7">
        <v>17.45</v>
      </c>
      <c r="O308" s="7">
        <v>799790.07999999996</v>
      </c>
      <c r="P308" s="7">
        <v>605664.57214599999</v>
      </c>
      <c r="Q308" s="7">
        <v>0</v>
      </c>
      <c r="R308" s="7">
        <v>24.27</v>
      </c>
      <c r="S308" s="7">
        <v>72</v>
      </c>
      <c r="T308" s="7">
        <v>22</v>
      </c>
      <c r="U308" s="7">
        <v>22</v>
      </c>
      <c r="V308" s="7">
        <v>221</v>
      </c>
      <c r="W308" s="7">
        <v>7.64</v>
      </c>
      <c r="X308" s="7">
        <v>85000</v>
      </c>
      <c r="Y308" s="7">
        <v>0</v>
      </c>
      <c r="Z308" s="7">
        <v>1</v>
      </c>
      <c r="AA308" s="7">
        <v>20.43</v>
      </c>
      <c r="AB308" s="7">
        <v>2648</v>
      </c>
      <c r="AC308" s="7">
        <v>1006000</v>
      </c>
      <c r="AD308" s="7">
        <v>1006000</v>
      </c>
      <c r="AE308" s="7">
        <v>697731.87</v>
      </c>
      <c r="AF308" s="7">
        <v>899</v>
      </c>
      <c r="AG308" s="7">
        <v>589</v>
      </c>
      <c r="AH308" s="12">
        <v>899</v>
      </c>
    </row>
    <row r="309" spans="1:34" ht="21" hidden="1" x14ac:dyDescent="0.25">
      <c r="A309" s="11">
        <v>6</v>
      </c>
      <c r="B309" s="8" t="s">
        <v>142</v>
      </c>
      <c r="C309" s="7">
        <v>481</v>
      </c>
      <c r="D309" s="8" t="s">
        <v>45</v>
      </c>
      <c r="E309" s="8" t="s">
        <v>19</v>
      </c>
      <c r="F309" s="8" t="s">
        <v>12</v>
      </c>
      <c r="G309" s="7">
        <v>50000</v>
      </c>
      <c r="H309" s="7">
        <v>40</v>
      </c>
      <c r="I309" s="7">
        <v>40</v>
      </c>
      <c r="J309" s="7">
        <v>55505.1</v>
      </c>
      <c r="K309" s="7">
        <v>41496.711119</v>
      </c>
      <c r="L309" s="7">
        <v>0</v>
      </c>
      <c r="M309" s="7">
        <v>25.24</v>
      </c>
      <c r="N309" s="7">
        <v>29.18</v>
      </c>
      <c r="O309" s="7">
        <v>799790.07999999996</v>
      </c>
      <c r="P309" s="7">
        <v>605664.57214599999</v>
      </c>
      <c r="Q309" s="7">
        <v>0</v>
      </c>
      <c r="R309" s="7">
        <v>24.27</v>
      </c>
      <c r="S309" s="7">
        <v>36</v>
      </c>
      <c r="T309" s="7">
        <v>22</v>
      </c>
      <c r="U309" s="7">
        <v>22</v>
      </c>
      <c r="V309" s="7">
        <v>224</v>
      </c>
      <c r="W309" s="7">
        <v>7.25</v>
      </c>
      <c r="X309" s="7">
        <v>50000</v>
      </c>
      <c r="Y309" s="7">
        <v>520.02</v>
      </c>
      <c r="Z309" s="7">
        <v>1</v>
      </c>
      <c r="AA309" s="7">
        <v>20.43</v>
      </c>
      <c r="AB309" s="7">
        <v>2648</v>
      </c>
      <c r="AC309" s="7">
        <v>1006000</v>
      </c>
      <c r="AD309" s="7">
        <v>1006000</v>
      </c>
      <c r="AE309" s="7">
        <v>697731.87</v>
      </c>
      <c r="AF309" s="7">
        <v>899</v>
      </c>
      <c r="AG309" s="7">
        <v>589</v>
      </c>
      <c r="AH309" s="12">
        <v>899</v>
      </c>
    </row>
    <row r="310" spans="1:34" hidden="1" x14ac:dyDescent="0.25">
      <c r="A310" s="11">
        <v>2</v>
      </c>
      <c r="B310" s="8" t="s">
        <v>10</v>
      </c>
      <c r="C310" s="7">
        <v>520</v>
      </c>
      <c r="D310" s="8" t="s">
        <v>46</v>
      </c>
      <c r="E310" s="8" t="s">
        <v>19</v>
      </c>
      <c r="F310" s="8" t="s">
        <v>12</v>
      </c>
      <c r="G310" s="7">
        <v>100000</v>
      </c>
      <c r="H310" s="7">
        <v>69</v>
      </c>
      <c r="I310" s="7">
        <v>69</v>
      </c>
      <c r="J310" s="7">
        <v>60081.27</v>
      </c>
      <c r="K310" s="7">
        <v>44309.442358</v>
      </c>
      <c r="L310" s="7">
        <v>0</v>
      </c>
      <c r="M310" s="7">
        <v>26.25</v>
      </c>
      <c r="N310" s="7">
        <v>28.99</v>
      </c>
      <c r="O310" s="7">
        <v>1080228.3700000001</v>
      </c>
      <c r="P310" s="7">
        <v>810319.896007</v>
      </c>
      <c r="Q310" s="7">
        <v>0</v>
      </c>
      <c r="R310" s="7">
        <v>24.99</v>
      </c>
      <c r="S310" s="7">
        <v>29</v>
      </c>
      <c r="T310" s="7">
        <v>22</v>
      </c>
      <c r="U310" s="7">
        <v>22</v>
      </c>
      <c r="V310" s="7">
        <v>206</v>
      </c>
      <c r="W310" s="7">
        <v>13.51</v>
      </c>
      <c r="X310" s="7">
        <v>100000</v>
      </c>
      <c r="Y310" s="7">
        <v>3604.43</v>
      </c>
      <c r="Z310" s="7">
        <v>0</v>
      </c>
      <c r="AA310" s="7">
        <v>21.61</v>
      </c>
      <c r="AB310" s="7">
        <v>2648</v>
      </c>
      <c r="AC310" s="7">
        <v>1126000</v>
      </c>
      <c r="AD310" s="7">
        <v>1126000</v>
      </c>
      <c r="AE310" s="7">
        <v>949839.12</v>
      </c>
      <c r="AF310" s="7">
        <v>760</v>
      </c>
      <c r="AG310" s="7">
        <v>477</v>
      </c>
      <c r="AH310" s="12">
        <v>760</v>
      </c>
    </row>
    <row r="311" spans="1:34" hidden="1" x14ac:dyDescent="0.25">
      <c r="A311" s="11">
        <v>2</v>
      </c>
      <c r="B311" s="8" t="s">
        <v>10</v>
      </c>
      <c r="C311" s="7">
        <v>577</v>
      </c>
      <c r="D311" s="8" t="s">
        <v>47</v>
      </c>
      <c r="E311" s="8" t="s">
        <v>19</v>
      </c>
      <c r="F311" s="8" t="s">
        <v>12</v>
      </c>
      <c r="G311" s="7">
        <v>100000</v>
      </c>
      <c r="H311" s="7">
        <v>15</v>
      </c>
      <c r="I311" s="7">
        <v>15</v>
      </c>
      <c r="J311" s="7">
        <v>103753.84</v>
      </c>
      <c r="K311" s="7">
        <v>79873.041427000004</v>
      </c>
      <c r="L311" s="7">
        <v>0</v>
      </c>
      <c r="M311" s="7">
        <v>23.02</v>
      </c>
      <c r="N311" s="7">
        <v>18.32</v>
      </c>
      <c r="O311" s="7">
        <v>1080228.3700000001</v>
      </c>
      <c r="P311" s="7">
        <v>810319.896007</v>
      </c>
      <c r="Q311" s="7">
        <v>0</v>
      </c>
      <c r="R311" s="7">
        <v>24.99</v>
      </c>
      <c r="S311" s="7">
        <v>15</v>
      </c>
      <c r="T311" s="7">
        <v>22</v>
      </c>
      <c r="U311" s="7">
        <v>22</v>
      </c>
      <c r="V311" s="7">
        <v>179</v>
      </c>
      <c r="W311" s="7">
        <v>8.43</v>
      </c>
      <c r="X311" s="7">
        <v>100000</v>
      </c>
      <c r="Y311" s="7">
        <v>356.64</v>
      </c>
      <c r="Z311" s="7">
        <v>0</v>
      </c>
      <c r="AA311" s="7">
        <v>21.61</v>
      </c>
      <c r="AB311" s="7">
        <v>2648</v>
      </c>
      <c r="AC311" s="7">
        <v>1126000</v>
      </c>
      <c r="AD311" s="7">
        <v>1126000</v>
      </c>
      <c r="AE311" s="7">
        <v>949839.12</v>
      </c>
      <c r="AF311" s="7">
        <v>760</v>
      </c>
      <c r="AG311" s="7">
        <v>477</v>
      </c>
      <c r="AH311" s="12">
        <v>760</v>
      </c>
    </row>
    <row r="312" spans="1:34" ht="21" hidden="1" x14ac:dyDescent="0.25">
      <c r="A312" s="11">
        <v>6</v>
      </c>
      <c r="B312" s="8" t="s">
        <v>142</v>
      </c>
      <c r="C312" s="7">
        <v>580</v>
      </c>
      <c r="D312" s="8" t="s">
        <v>145</v>
      </c>
      <c r="E312" s="8" t="s">
        <v>19</v>
      </c>
      <c r="F312" s="8" t="s">
        <v>12</v>
      </c>
      <c r="G312" s="7">
        <v>0</v>
      </c>
      <c r="H312" s="7">
        <v>0</v>
      </c>
      <c r="I312" s="7">
        <v>0</v>
      </c>
      <c r="J312" s="7">
        <v>2901.68</v>
      </c>
      <c r="K312" s="7">
        <v>2174.3160459999999</v>
      </c>
      <c r="L312" s="7">
        <v>0</v>
      </c>
      <c r="M312" s="7">
        <v>25.07</v>
      </c>
      <c r="N312" s="7">
        <v>16.72</v>
      </c>
      <c r="O312" s="7">
        <v>799790.07999999996</v>
      </c>
      <c r="P312" s="7">
        <v>605664.57214599999</v>
      </c>
      <c r="Q312" s="7">
        <v>0</v>
      </c>
      <c r="R312" s="7">
        <v>24.27</v>
      </c>
      <c r="S312" s="7">
        <v>7</v>
      </c>
      <c r="T312" s="7">
        <v>22</v>
      </c>
      <c r="U312" s="7">
        <v>22</v>
      </c>
      <c r="V312" s="7">
        <v>37</v>
      </c>
      <c r="W312" s="7">
        <v>5.88</v>
      </c>
      <c r="X312" s="7">
        <v>0</v>
      </c>
      <c r="Y312" s="7">
        <v>0</v>
      </c>
      <c r="Z312" s="7">
        <v>1</v>
      </c>
      <c r="AA312" s="7">
        <v>20.43</v>
      </c>
      <c r="AB312" s="7">
        <v>2648</v>
      </c>
      <c r="AC312" s="7">
        <v>1006000</v>
      </c>
      <c r="AD312" s="7">
        <v>1006000</v>
      </c>
      <c r="AE312" s="7">
        <v>697731.87</v>
      </c>
      <c r="AF312" s="7">
        <v>899</v>
      </c>
      <c r="AG312" s="7">
        <v>589</v>
      </c>
      <c r="AH312" s="12">
        <v>899</v>
      </c>
    </row>
    <row r="313" spans="1:34" ht="21" hidden="1" x14ac:dyDescent="0.25">
      <c r="A313" s="11">
        <v>26</v>
      </c>
      <c r="B313" s="8" t="s">
        <v>13</v>
      </c>
      <c r="C313" s="7">
        <v>661</v>
      </c>
      <c r="D313" s="8" t="s">
        <v>48</v>
      </c>
      <c r="E313" s="8" t="s">
        <v>19</v>
      </c>
      <c r="F313" s="8" t="s">
        <v>12</v>
      </c>
      <c r="G313" s="7">
        <v>120000</v>
      </c>
      <c r="H313" s="7">
        <v>89</v>
      </c>
      <c r="I313" s="7">
        <v>89</v>
      </c>
      <c r="J313" s="7">
        <v>158490.82</v>
      </c>
      <c r="K313" s="7">
        <v>120100.02661299999</v>
      </c>
      <c r="L313" s="7">
        <v>0</v>
      </c>
      <c r="M313" s="7">
        <v>24.22</v>
      </c>
      <c r="N313" s="7">
        <v>24.62</v>
      </c>
      <c r="O313" s="7">
        <v>933054.95</v>
      </c>
      <c r="P313" s="7">
        <v>710042.85993000004</v>
      </c>
      <c r="Q313" s="7">
        <v>0</v>
      </c>
      <c r="R313" s="7">
        <v>23.9</v>
      </c>
      <c r="S313" s="7">
        <v>70</v>
      </c>
      <c r="T313" s="7">
        <v>22</v>
      </c>
      <c r="U313" s="7">
        <v>22</v>
      </c>
      <c r="V313" s="7">
        <v>353</v>
      </c>
      <c r="W313" s="7">
        <v>11.33</v>
      </c>
      <c r="X313" s="7">
        <v>120000</v>
      </c>
      <c r="Y313" s="7">
        <v>1269.8399999999999</v>
      </c>
      <c r="Z313" s="7">
        <v>0</v>
      </c>
      <c r="AA313" s="7">
        <v>26.63</v>
      </c>
      <c r="AB313" s="7">
        <v>2648</v>
      </c>
      <c r="AC313" s="7">
        <v>865000</v>
      </c>
      <c r="AD313" s="7">
        <v>865000</v>
      </c>
      <c r="AE313" s="7">
        <v>830922.56</v>
      </c>
      <c r="AF313" s="7">
        <v>664</v>
      </c>
      <c r="AG313" s="7">
        <v>525</v>
      </c>
      <c r="AH313" s="12">
        <v>664</v>
      </c>
    </row>
    <row r="314" spans="1:34" hidden="1" x14ac:dyDescent="0.25">
      <c r="A314" s="11">
        <v>2</v>
      </c>
      <c r="B314" s="8" t="s">
        <v>10</v>
      </c>
      <c r="C314" s="7">
        <v>690</v>
      </c>
      <c r="D314" s="8" t="s">
        <v>49</v>
      </c>
      <c r="E314" s="8" t="s">
        <v>19</v>
      </c>
      <c r="F314" s="8" t="s">
        <v>12</v>
      </c>
      <c r="G314" s="7">
        <v>100000</v>
      </c>
      <c r="H314" s="7">
        <v>90</v>
      </c>
      <c r="I314" s="7">
        <v>90</v>
      </c>
      <c r="J314" s="7">
        <v>104882.2</v>
      </c>
      <c r="K314" s="7">
        <v>78111.090477999998</v>
      </c>
      <c r="L314" s="7">
        <v>0</v>
      </c>
      <c r="M314" s="7">
        <v>25.52</v>
      </c>
      <c r="N314" s="7">
        <v>19.440000000000001</v>
      </c>
      <c r="O314" s="7">
        <v>1080228.3700000001</v>
      </c>
      <c r="P314" s="7">
        <v>810319.896007</v>
      </c>
      <c r="Q314" s="7">
        <v>0</v>
      </c>
      <c r="R314" s="7">
        <v>24.99</v>
      </c>
      <c r="S314" s="7">
        <v>70</v>
      </c>
      <c r="T314" s="7">
        <v>22</v>
      </c>
      <c r="U314" s="7">
        <v>22</v>
      </c>
      <c r="V314" s="7">
        <v>418</v>
      </c>
      <c r="W314" s="7">
        <v>12.91</v>
      </c>
      <c r="X314" s="7">
        <v>100000</v>
      </c>
      <c r="Y314" s="7">
        <v>362.4</v>
      </c>
      <c r="Z314" s="7">
        <v>0</v>
      </c>
      <c r="AA314" s="7">
        <v>21.61</v>
      </c>
      <c r="AB314" s="7">
        <v>2648</v>
      </c>
      <c r="AC314" s="7">
        <v>1126000</v>
      </c>
      <c r="AD314" s="7">
        <v>1126000</v>
      </c>
      <c r="AE314" s="7">
        <v>949839.12</v>
      </c>
      <c r="AF314" s="7">
        <v>760</v>
      </c>
      <c r="AG314" s="7">
        <v>477</v>
      </c>
      <c r="AH314" s="12">
        <v>760</v>
      </c>
    </row>
    <row r="315" spans="1:34" ht="21" hidden="1" x14ac:dyDescent="0.25">
      <c r="A315" s="11">
        <v>26</v>
      </c>
      <c r="B315" s="8" t="s">
        <v>13</v>
      </c>
      <c r="C315" s="7">
        <v>705</v>
      </c>
      <c r="D315" s="8" t="s">
        <v>50</v>
      </c>
      <c r="E315" s="8" t="s">
        <v>19</v>
      </c>
      <c r="F315" s="8" t="s">
        <v>12</v>
      </c>
      <c r="G315" s="7">
        <v>100000</v>
      </c>
      <c r="H315" s="7">
        <v>35</v>
      </c>
      <c r="I315" s="7">
        <v>35</v>
      </c>
      <c r="J315" s="7">
        <v>48334.07</v>
      </c>
      <c r="K315" s="7">
        <v>38024.863268000001</v>
      </c>
      <c r="L315" s="7">
        <v>0</v>
      </c>
      <c r="M315" s="7">
        <v>21.33</v>
      </c>
      <c r="N315" s="7">
        <v>29.83</v>
      </c>
      <c r="O315" s="7">
        <v>933054.95</v>
      </c>
      <c r="P315" s="7">
        <v>710042.85993000004</v>
      </c>
      <c r="Q315" s="7">
        <v>0</v>
      </c>
      <c r="R315" s="7">
        <v>23.9</v>
      </c>
      <c r="S315" s="7">
        <v>15</v>
      </c>
      <c r="T315" s="7">
        <v>22</v>
      </c>
      <c r="U315" s="7">
        <v>22</v>
      </c>
      <c r="V315" s="7">
        <v>325</v>
      </c>
      <c r="W315" s="7">
        <v>19.55</v>
      </c>
      <c r="X315" s="7">
        <v>100000</v>
      </c>
      <c r="Y315" s="7">
        <v>0</v>
      </c>
      <c r="Z315" s="7">
        <v>0</v>
      </c>
      <c r="AA315" s="7">
        <v>26.63</v>
      </c>
      <c r="AB315" s="7">
        <v>2648</v>
      </c>
      <c r="AC315" s="7">
        <v>865000</v>
      </c>
      <c r="AD315" s="7">
        <v>865000</v>
      </c>
      <c r="AE315" s="7">
        <v>830922.56</v>
      </c>
      <c r="AF315" s="7">
        <v>664</v>
      </c>
      <c r="AG315" s="7">
        <v>525</v>
      </c>
      <c r="AH315" s="12">
        <v>664</v>
      </c>
    </row>
    <row r="316" spans="1:34" ht="21" hidden="1" x14ac:dyDescent="0.25">
      <c r="A316" s="11">
        <v>6</v>
      </c>
      <c r="B316" s="8" t="s">
        <v>142</v>
      </c>
      <c r="C316" s="7">
        <v>746</v>
      </c>
      <c r="D316" s="8" t="s">
        <v>51</v>
      </c>
      <c r="E316" s="8" t="s">
        <v>19</v>
      </c>
      <c r="F316" s="8" t="s">
        <v>12</v>
      </c>
      <c r="G316" s="7">
        <v>0</v>
      </c>
      <c r="H316" s="7">
        <v>0</v>
      </c>
      <c r="I316" s="7">
        <v>0</v>
      </c>
      <c r="J316" s="7">
        <v>33220.42</v>
      </c>
      <c r="K316" s="7">
        <v>25498.121755</v>
      </c>
      <c r="L316" s="7">
        <v>0</v>
      </c>
      <c r="M316" s="7">
        <v>23.25</v>
      </c>
      <c r="N316" s="7">
        <v>25.32</v>
      </c>
      <c r="O316" s="7">
        <v>799790.07999999996</v>
      </c>
      <c r="P316" s="7">
        <v>605664.57214599999</v>
      </c>
      <c r="Q316" s="7">
        <v>0</v>
      </c>
      <c r="R316" s="7">
        <v>24.27</v>
      </c>
      <c r="S316" s="7">
        <v>23</v>
      </c>
      <c r="T316" s="7">
        <v>22</v>
      </c>
      <c r="U316" s="7">
        <v>22</v>
      </c>
      <c r="V316" s="7">
        <v>153</v>
      </c>
      <c r="W316" s="7">
        <v>9.35</v>
      </c>
      <c r="X316" s="7">
        <v>0</v>
      </c>
      <c r="Y316" s="7">
        <v>4255.8500000000004</v>
      </c>
      <c r="Z316" s="7">
        <v>0</v>
      </c>
      <c r="AA316" s="7">
        <v>20.43</v>
      </c>
      <c r="AB316" s="7">
        <v>2648</v>
      </c>
      <c r="AC316" s="7">
        <v>1006000</v>
      </c>
      <c r="AD316" s="7">
        <v>1006000</v>
      </c>
      <c r="AE316" s="7">
        <v>697731.87</v>
      </c>
      <c r="AF316" s="7">
        <v>899</v>
      </c>
      <c r="AG316" s="7">
        <v>589</v>
      </c>
      <c r="AH316" s="12">
        <v>899</v>
      </c>
    </row>
    <row r="317" spans="1:34" hidden="1" x14ac:dyDescent="0.25">
      <c r="A317" s="11">
        <v>2</v>
      </c>
      <c r="B317" s="8" t="s">
        <v>10</v>
      </c>
      <c r="C317" s="7">
        <v>756</v>
      </c>
      <c r="D317" s="8" t="s">
        <v>52</v>
      </c>
      <c r="E317" s="8" t="s">
        <v>19</v>
      </c>
      <c r="F317" s="8" t="s">
        <v>12</v>
      </c>
      <c r="G317" s="7">
        <v>100000</v>
      </c>
      <c r="H317" s="7">
        <v>60</v>
      </c>
      <c r="I317" s="7">
        <v>60</v>
      </c>
      <c r="J317" s="7">
        <v>120047.49</v>
      </c>
      <c r="K317" s="7">
        <v>91202.647717999993</v>
      </c>
      <c r="L317" s="7">
        <v>0</v>
      </c>
      <c r="M317" s="7">
        <v>24.03</v>
      </c>
      <c r="N317" s="7">
        <v>28.92</v>
      </c>
      <c r="O317" s="7">
        <v>1080228.3700000001</v>
      </c>
      <c r="P317" s="7">
        <v>810319.896007</v>
      </c>
      <c r="Q317" s="7">
        <v>0</v>
      </c>
      <c r="R317" s="7">
        <v>24.99</v>
      </c>
      <c r="S317" s="7">
        <v>60</v>
      </c>
      <c r="T317" s="7">
        <v>22</v>
      </c>
      <c r="U317" s="7">
        <v>22</v>
      </c>
      <c r="V317" s="7">
        <v>459</v>
      </c>
      <c r="W317" s="7">
        <v>13.56</v>
      </c>
      <c r="X317" s="7">
        <v>100000</v>
      </c>
      <c r="Y317" s="7">
        <v>0</v>
      </c>
      <c r="Z317" s="7">
        <v>0</v>
      </c>
      <c r="AA317" s="7">
        <v>21.61</v>
      </c>
      <c r="AB317" s="7">
        <v>2648</v>
      </c>
      <c r="AC317" s="7">
        <v>1126000</v>
      </c>
      <c r="AD317" s="7">
        <v>1126000</v>
      </c>
      <c r="AE317" s="7">
        <v>949839.12</v>
      </c>
      <c r="AF317" s="7">
        <v>760</v>
      </c>
      <c r="AG317" s="7">
        <v>477</v>
      </c>
      <c r="AH317" s="12">
        <v>760</v>
      </c>
    </row>
    <row r="318" spans="1:34" ht="21" hidden="1" x14ac:dyDescent="0.25">
      <c r="A318" s="11">
        <v>26</v>
      </c>
      <c r="B318" s="8" t="s">
        <v>13</v>
      </c>
      <c r="C318" s="7">
        <v>759</v>
      </c>
      <c r="D318" s="8" t="s">
        <v>53</v>
      </c>
      <c r="E318" s="8" t="s">
        <v>19</v>
      </c>
      <c r="F318" s="8" t="s">
        <v>12</v>
      </c>
      <c r="G318" s="7">
        <v>50000</v>
      </c>
      <c r="H318" s="7">
        <v>49</v>
      </c>
      <c r="I318" s="7">
        <v>49</v>
      </c>
      <c r="J318" s="7">
        <v>51827.72</v>
      </c>
      <c r="K318" s="7">
        <v>38558.264615</v>
      </c>
      <c r="L318" s="7">
        <v>0</v>
      </c>
      <c r="M318" s="7">
        <v>25.6</v>
      </c>
      <c r="N318" s="7">
        <v>18.98</v>
      </c>
      <c r="O318" s="7">
        <v>933054.95</v>
      </c>
      <c r="P318" s="7">
        <v>710042.85993000004</v>
      </c>
      <c r="Q318" s="7">
        <v>0</v>
      </c>
      <c r="R318" s="7">
        <v>23.9</v>
      </c>
      <c r="S318" s="7">
        <v>49</v>
      </c>
      <c r="T318" s="7">
        <v>22</v>
      </c>
      <c r="U318" s="7">
        <v>22</v>
      </c>
      <c r="V318" s="7">
        <v>249</v>
      </c>
      <c r="W318" s="7">
        <v>10.55</v>
      </c>
      <c r="X318" s="7">
        <v>50000</v>
      </c>
      <c r="Y318" s="7">
        <v>0</v>
      </c>
      <c r="Z318" s="7">
        <v>0</v>
      </c>
      <c r="AA318" s="7">
        <v>26.63</v>
      </c>
      <c r="AB318" s="7">
        <v>2648</v>
      </c>
      <c r="AC318" s="7">
        <v>865000</v>
      </c>
      <c r="AD318" s="7">
        <v>865000</v>
      </c>
      <c r="AE318" s="7">
        <v>830922.56</v>
      </c>
      <c r="AF318" s="7">
        <v>664</v>
      </c>
      <c r="AG318" s="7">
        <v>525</v>
      </c>
      <c r="AH318" s="12">
        <v>664</v>
      </c>
    </row>
    <row r="319" spans="1:34" ht="21" hidden="1" x14ac:dyDescent="0.25">
      <c r="A319" s="11">
        <v>5</v>
      </c>
      <c r="B319" s="8" t="s">
        <v>143</v>
      </c>
      <c r="C319" s="7">
        <v>760</v>
      </c>
      <c r="D319" s="8" t="s">
        <v>54</v>
      </c>
      <c r="E319" s="8" t="s">
        <v>19</v>
      </c>
      <c r="F319" s="8" t="s">
        <v>12</v>
      </c>
      <c r="G319" s="7">
        <v>147000</v>
      </c>
      <c r="H319" s="7">
        <v>30</v>
      </c>
      <c r="I319" s="7">
        <v>30</v>
      </c>
      <c r="J319" s="7">
        <v>142184.12</v>
      </c>
      <c r="K319" s="7">
        <v>106940.50490099999</v>
      </c>
      <c r="L319" s="7">
        <v>0</v>
      </c>
      <c r="M319" s="7">
        <v>24.79</v>
      </c>
      <c r="N319" s="7">
        <v>39.92</v>
      </c>
      <c r="O319" s="7">
        <v>350890.02</v>
      </c>
      <c r="P319" s="7">
        <v>267719.45955999999</v>
      </c>
      <c r="Q319" s="7">
        <v>0</v>
      </c>
      <c r="R319" s="7">
        <v>23.7</v>
      </c>
      <c r="S319" s="7">
        <v>32</v>
      </c>
      <c r="T319" s="7">
        <v>22</v>
      </c>
      <c r="U319" s="7">
        <v>22</v>
      </c>
      <c r="V319" s="7">
        <v>159</v>
      </c>
      <c r="W319" s="7">
        <v>7.18</v>
      </c>
      <c r="X319" s="7">
        <v>147000</v>
      </c>
      <c r="Y319" s="7">
        <v>2370.7399999999998</v>
      </c>
      <c r="Z319" s="7">
        <v>0</v>
      </c>
      <c r="AA319" s="7">
        <v>23</v>
      </c>
      <c r="AB319" s="7">
        <v>2648</v>
      </c>
      <c r="AC319" s="7">
        <v>380000</v>
      </c>
      <c r="AD319" s="7">
        <v>380000</v>
      </c>
      <c r="AE319" s="7">
        <v>287655.11</v>
      </c>
      <c r="AF319" s="7">
        <v>160</v>
      </c>
      <c r="AG319" s="7">
        <v>99</v>
      </c>
      <c r="AH319" s="12">
        <v>160</v>
      </c>
    </row>
    <row r="320" spans="1:34" ht="21" hidden="1" x14ac:dyDescent="0.25">
      <c r="A320" s="11">
        <v>6</v>
      </c>
      <c r="B320" s="8" t="s">
        <v>142</v>
      </c>
      <c r="C320" s="7">
        <v>764</v>
      </c>
      <c r="D320" s="8" t="s">
        <v>55</v>
      </c>
      <c r="E320" s="8" t="s">
        <v>19</v>
      </c>
      <c r="F320" s="8" t="s">
        <v>12</v>
      </c>
      <c r="G320" s="7">
        <v>108000</v>
      </c>
      <c r="H320" s="7">
        <v>83</v>
      </c>
      <c r="I320" s="7">
        <v>83</v>
      </c>
      <c r="J320" s="7">
        <v>108722.27</v>
      </c>
      <c r="K320" s="7">
        <v>82288.813236000002</v>
      </c>
      <c r="L320" s="7">
        <v>0</v>
      </c>
      <c r="M320" s="7">
        <v>24.31</v>
      </c>
      <c r="N320" s="7">
        <v>19.38</v>
      </c>
      <c r="O320" s="7">
        <v>799790.07999999996</v>
      </c>
      <c r="P320" s="7">
        <v>605664.57214599999</v>
      </c>
      <c r="Q320" s="7">
        <v>0</v>
      </c>
      <c r="R320" s="7">
        <v>24.27</v>
      </c>
      <c r="S320" s="7">
        <v>71</v>
      </c>
      <c r="T320" s="7">
        <v>22</v>
      </c>
      <c r="U320" s="7">
        <v>22</v>
      </c>
      <c r="V320" s="7">
        <v>455</v>
      </c>
      <c r="W320" s="7">
        <v>11.98</v>
      </c>
      <c r="X320" s="7">
        <v>108000</v>
      </c>
      <c r="Y320" s="7">
        <v>252.82</v>
      </c>
      <c r="Z320" s="7">
        <v>1</v>
      </c>
      <c r="AA320" s="7">
        <v>20.43</v>
      </c>
      <c r="AB320" s="7">
        <v>2648</v>
      </c>
      <c r="AC320" s="7">
        <v>1006000</v>
      </c>
      <c r="AD320" s="7">
        <v>1006000</v>
      </c>
      <c r="AE320" s="7">
        <v>697731.87</v>
      </c>
      <c r="AF320" s="7">
        <v>899</v>
      </c>
      <c r="AG320" s="7">
        <v>589</v>
      </c>
      <c r="AH320" s="12">
        <v>899</v>
      </c>
    </row>
    <row r="321" spans="1:34" ht="21" hidden="1" x14ac:dyDescent="0.25">
      <c r="A321" s="11">
        <v>26</v>
      </c>
      <c r="B321" s="8" t="s">
        <v>13</v>
      </c>
      <c r="C321" s="7">
        <v>796</v>
      </c>
      <c r="D321" s="8" t="s">
        <v>61</v>
      </c>
      <c r="E321" s="8" t="s">
        <v>19</v>
      </c>
      <c r="F321" s="8" t="s">
        <v>12</v>
      </c>
      <c r="G321" s="7">
        <v>32000</v>
      </c>
      <c r="H321" s="7">
        <v>1</v>
      </c>
      <c r="I321" s="7">
        <v>1</v>
      </c>
      <c r="J321" s="7">
        <v>33546.94</v>
      </c>
      <c r="K321" s="7">
        <v>29274.457740000002</v>
      </c>
      <c r="L321" s="7">
        <v>0</v>
      </c>
      <c r="M321" s="7">
        <v>12.74</v>
      </c>
      <c r="N321" s="7">
        <v>39.81</v>
      </c>
      <c r="O321" s="7">
        <v>933054.95</v>
      </c>
      <c r="P321" s="7">
        <v>710042.85993000004</v>
      </c>
      <c r="Q321" s="7">
        <v>0</v>
      </c>
      <c r="R321" s="7">
        <v>23.9</v>
      </c>
      <c r="S321" s="7">
        <v>1</v>
      </c>
      <c r="T321" s="7">
        <v>22</v>
      </c>
      <c r="U321" s="7">
        <v>22</v>
      </c>
      <c r="V321" s="7">
        <v>98</v>
      </c>
      <c r="W321" s="7">
        <v>5.04</v>
      </c>
      <c r="X321" s="7">
        <v>32000</v>
      </c>
      <c r="Y321" s="7">
        <v>223.59</v>
      </c>
      <c r="Z321" s="7">
        <v>0</v>
      </c>
      <c r="AA321" s="7">
        <v>26.63</v>
      </c>
      <c r="AB321" s="7">
        <v>2648</v>
      </c>
      <c r="AC321" s="7">
        <v>865000</v>
      </c>
      <c r="AD321" s="7">
        <v>865000</v>
      </c>
      <c r="AE321" s="7">
        <v>830922.56</v>
      </c>
      <c r="AF321" s="7">
        <v>664</v>
      </c>
      <c r="AG321" s="7">
        <v>525</v>
      </c>
      <c r="AH321" s="12">
        <v>664</v>
      </c>
    </row>
    <row r="322" spans="1:34" ht="21" hidden="1" x14ac:dyDescent="0.25">
      <c r="A322" s="11">
        <v>12</v>
      </c>
      <c r="B322" s="8" t="s">
        <v>14</v>
      </c>
      <c r="C322" s="7">
        <v>800</v>
      </c>
      <c r="D322" s="8" t="s">
        <v>117</v>
      </c>
      <c r="E322" s="8" t="s">
        <v>19</v>
      </c>
      <c r="F322" s="8" t="s">
        <v>12</v>
      </c>
      <c r="G322" s="7">
        <v>55000</v>
      </c>
      <c r="H322" s="7">
        <v>70</v>
      </c>
      <c r="I322" s="7">
        <v>70</v>
      </c>
      <c r="J322" s="7">
        <v>28172.880000000001</v>
      </c>
      <c r="K322" s="7">
        <v>21206.831550999999</v>
      </c>
      <c r="L322" s="7">
        <v>0</v>
      </c>
      <c r="M322" s="7">
        <v>24.73</v>
      </c>
      <c r="N322" s="7">
        <v>12.57</v>
      </c>
      <c r="O322" s="7">
        <v>328927.56</v>
      </c>
      <c r="P322" s="7">
        <v>249677.97298300001</v>
      </c>
      <c r="Q322" s="7">
        <v>0</v>
      </c>
      <c r="R322" s="7">
        <v>24.09</v>
      </c>
      <c r="S322" s="7">
        <v>49</v>
      </c>
      <c r="T322" s="7">
        <v>22</v>
      </c>
      <c r="U322" s="7">
        <v>22</v>
      </c>
      <c r="V322" s="7">
        <v>249</v>
      </c>
      <c r="W322" s="7">
        <v>8.86</v>
      </c>
      <c r="X322" s="7">
        <v>55000</v>
      </c>
      <c r="Y322" s="7">
        <v>1881.45</v>
      </c>
      <c r="Z322" s="7">
        <v>1</v>
      </c>
      <c r="AA322" s="7">
        <v>27.59</v>
      </c>
      <c r="AB322" s="7">
        <v>2648</v>
      </c>
      <c r="AC322" s="7">
        <v>645000</v>
      </c>
      <c r="AD322" s="7">
        <v>645000</v>
      </c>
      <c r="AE322" s="7">
        <v>392162.47</v>
      </c>
      <c r="AF322" s="7">
        <v>790</v>
      </c>
      <c r="AG322" s="7">
        <v>478</v>
      </c>
      <c r="AH322" s="12">
        <v>790</v>
      </c>
    </row>
    <row r="323" spans="1:34" hidden="1" x14ac:dyDescent="0.25">
      <c r="A323" s="11">
        <v>2</v>
      </c>
      <c r="B323" s="8" t="s">
        <v>10</v>
      </c>
      <c r="C323" s="7">
        <v>817</v>
      </c>
      <c r="D323" s="8" t="s">
        <v>57</v>
      </c>
      <c r="E323" s="8" t="s">
        <v>19</v>
      </c>
      <c r="F323" s="8" t="s">
        <v>12</v>
      </c>
      <c r="G323" s="7">
        <v>100000</v>
      </c>
      <c r="H323" s="7">
        <v>70</v>
      </c>
      <c r="I323" s="7">
        <v>70</v>
      </c>
      <c r="J323" s="7">
        <v>124200.95</v>
      </c>
      <c r="K323" s="7">
        <v>89866.718001000001</v>
      </c>
      <c r="L323" s="7">
        <v>0</v>
      </c>
      <c r="M323" s="7">
        <v>27.64</v>
      </c>
      <c r="N323" s="7">
        <v>22.24</v>
      </c>
      <c r="O323" s="7">
        <v>1080228.3700000001</v>
      </c>
      <c r="P323" s="7">
        <v>810319.896007</v>
      </c>
      <c r="Q323" s="7">
        <v>0</v>
      </c>
      <c r="R323" s="7">
        <v>24.99</v>
      </c>
      <c r="S323" s="7">
        <v>74</v>
      </c>
      <c r="T323" s="7">
        <v>22</v>
      </c>
      <c r="U323" s="7">
        <v>22</v>
      </c>
      <c r="V323" s="7">
        <v>421</v>
      </c>
      <c r="W323" s="7">
        <v>13.96</v>
      </c>
      <c r="X323" s="7">
        <v>100000</v>
      </c>
      <c r="Y323" s="7">
        <v>155.34</v>
      </c>
      <c r="Z323" s="7">
        <v>1</v>
      </c>
      <c r="AA323" s="7">
        <v>21.61</v>
      </c>
      <c r="AB323" s="7">
        <v>2648</v>
      </c>
      <c r="AC323" s="7">
        <v>1126000</v>
      </c>
      <c r="AD323" s="7">
        <v>1126000</v>
      </c>
      <c r="AE323" s="7">
        <v>949839.12</v>
      </c>
      <c r="AF323" s="7">
        <v>760</v>
      </c>
      <c r="AG323" s="7">
        <v>477</v>
      </c>
      <c r="AH323" s="12">
        <v>760</v>
      </c>
    </row>
    <row r="324" spans="1:34" ht="21" hidden="1" x14ac:dyDescent="0.25">
      <c r="A324" s="11">
        <v>12</v>
      </c>
      <c r="B324" s="8" t="s">
        <v>14</v>
      </c>
      <c r="C324" s="7">
        <v>853</v>
      </c>
      <c r="D324" s="8" t="s">
        <v>58</v>
      </c>
      <c r="E324" s="8" t="s">
        <v>19</v>
      </c>
      <c r="F324" s="8" t="s">
        <v>12</v>
      </c>
      <c r="G324" s="7">
        <v>55000</v>
      </c>
      <c r="H324" s="7">
        <v>65</v>
      </c>
      <c r="I324" s="7">
        <v>65</v>
      </c>
      <c r="J324" s="7">
        <v>39137.85</v>
      </c>
      <c r="K324" s="7">
        <v>30268.843185999998</v>
      </c>
      <c r="L324" s="7">
        <v>0</v>
      </c>
      <c r="M324" s="7">
        <v>22.66</v>
      </c>
      <c r="N324" s="7">
        <v>15.43</v>
      </c>
      <c r="O324" s="7">
        <v>328927.56</v>
      </c>
      <c r="P324" s="7">
        <v>249677.97298300001</v>
      </c>
      <c r="Q324" s="7">
        <v>0</v>
      </c>
      <c r="R324" s="7">
        <v>24.09</v>
      </c>
      <c r="S324" s="7">
        <v>48</v>
      </c>
      <c r="T324" s="7">
        <v>22</v>
      </c>
      <c r="U324" s="7">
        <v>22</v>
      </c>
      <c r="V324" s="7">
        <v>278</v>
      </c>
      <c r="W324" s="7">
        <v>12.2</v>
      </c>
      <c r="X324" s="7">
        <v>55000</v>
      </c>
      <c r="Y324" s="7">
        <v>575.05999999999995</v>
      </c>
      <c r="Z324" s="7">
        <v>2</v>
      </c>
      <c r="AA324" s="7">
        <v>27.59</v>
      </c>
      <c r="AB324" s="7">
        <v>2648</v>
      </c>
      <c r="AC324" s="7">
        <v>645000</v>
      </c>
      <c r="AD324" s="7">
        <v>645000</v>
      </c>
      <c r="AE324" s="7">
        <v>392162.47</v>
      </c>
      <c r="AF324" s="7">
        <v>790</v>
      </c>
      <c r="AG324" s="7">
        <v>478</v>
      </c>
      <c r="AH324" s="12">
        <v>790</v>
      </c>
    </row>
    <row r="325" spans="1:34" ht="21" hidden="1" x14ac:dyDescent="0.25">
      <c r="A325" s="11">
        <v>12</v>
      </c>
      <c r="B325" s="8" t="s">
        <v>14</v>
      </c>
      <c r="C325" s="7">
        <v>884</v>
      </c>
      <c r="D325" s="8" t="s">
        <v>140</v>
      </c>
      <c r="E325" s="8" t="s">
        <v>19</v>
      </c>
      <c r="F325" s="8" t="s">
        <v>12</v>
      </c>
      <c r="G325" s="7">
        <v>115000</v>
      </c>
      <c r="H325" s="7">
        <v>145</v>
      </c>
      <c r="I325" s="7">
        <v>145</v>
      </c>
      <c r="J325" s="7">
        <v>0</v>
      </c>
      <c r="K325" s="7">
        <v>2102.7346109999999</v>
      </c>
      <c r="L325" s="7">
        <v>0</v>
      </c>
      <c r="M325" s="7">
        <v>0</v>
      </c>
      <c r="N325" s="7">
        <v>1</v>
      </c>
      <c r="O325" s="7">
        <v>328927.56</v>
      </c>
      <c r="P325" s="7">
        <v>249677.97298300001</v>
      </c>
      <c r="Q325" s="7">
        <v>0</v>
      </c>
      <c r="R325" s="7">
        <v>24.09</v>
      </c>
      <c r="S325" s="7">
        <v>0</v>
      </c>
      <c r="T325" s="7">
        <v>22</v>
      </c>
      <c r="U325" s="7">
        <v>22</v>
      </c>
      <c r="V325" s="7">
        <v>18</v>
      </c>
      <c r="W325" s="7">
        <v>1.85</v>
      </c>
      <c r="X325" s="7">
        <v>115000</v>
      </c>
      <c r="Y325" s="7">
        <v>0</v>
      </c>
      <c r="Z325" s="7">
        <v>0</v>
      </c>
      <c r="AA325" s="7">
        <v>27.59</v>
      </c>
      <c r="AB325" s="7">
        <v>2648</v>
      </c>
      <c r="AC325" s="7">
        <v>645000</v>
      </c>
      <c r="AD325" s="7">
        <v>645000</v>
      </c>
      <c r="AE325" s="7">
        <v>392162.47</v>
      </c>
      <c r="AF325" s="7">
        <v>790</v>
      </c>
      <c r="AG325" s="7">
        <v>478</v>
      </c>
      <c r="AH325" s="12">
        <v>790</v>
      </c>
    </row>
    <row r="326" spans="1:34" ht="21" hidden="1" x14ac:dyDescent="0.25">
      <c r="A326" s="11">
        <v>10</v>
      </c>
      <c r="B326" s="8" t="s">
        <v>180</v>
      </c>
      <c r="C326" s="7">
        <v>922</v>
      </c>
      <c r="D326" s="8" t="s">
        <v>59</v>
      </c>
      <c r="E326" s="8" t="s">
        <v>19</v>
      </c>
      <c r="F326" s="8" t="s">
        <v>12</v>
      </c>
      <c r="G326" s="7">
        <v>60000</v>
      </c>
      <c r="H326" s="7">
        <v>65</v>
      </c>
      <c r="I326" s="7">
        <v>65</v>
      </c>
      <c r="J326" s="7">
        <v>49997.85</v>
      </c>
      <c r="K326" s="7">
        <v>38249.836745000001</v>
      </c>
      <c r="L326" s="7">
        <v>0</v>
      </c>
      <c r="M326" s="7">
        <v>23.5</v>
      </c>
      <c r="N326" s="7">
        <v>14.07</v>
      </c>
      <c r="O326" s="7">
        <v>0</v>
      </c>
      <c r="P326" s="7">
        <v>0</v>
      </c>
      <c r="Q326" s="7">
        <v>0</v>
      </c>
      <c r="R326" s="7">
        <v>0</v>
      </c>
      <c r="S326" s="7">
        <v>54</v>
      </c>
      <c r="T326" s="7">
        <v>22</v>
      </c>
      <c r="U326" s="7">
        <v>22</v>
      </c>
      <c r="V326" s="7">
        <v>481</v>
      </c>
      <c r="W326" s="7">
        <v>13.35</v>
      </c>
      <c r="X326" s="7">
        <v>60000</v>
      </c>
      <c r="Y326" s="7">
        <v>216.76</v>
      </c>
      <c r="Z326" s="7">
        <v>1</v>
      </c>
      <c r="AA326" s="7">
        <v>0</v>
      </c>
      <c r="AB326" s="7">
        <v>2648</v>
      </c>
      <c r="AC326" s="7">
        <v>610000</v>
      </c>
      <c r="AD326" s="7">
        <v>610000</v>
      </c>
      <c r="AE326" s="7">
        <v>494578.26</v>
      </c>
      <c r="AF326" s="7">
        <v>471</v>
      </c>
      <c r="AG326" s="7">
        <v>461</v>
      </c>
      <c r="AH326" s="12">
        <v>471</v>
      </c>
    </row>
    <row r="327" spans="1:34" ht="21" hidden="1" x14ac:dyDescent="0.25">
      <c r="A327" s="11">
        <v>4</v>
      </c>
      <c r="B327" s="8" t="s">
        <v>15</v>
      </c>
      <c r="C327" s="7">
        <v>949</v>
      </c>
      <c r="D327" s="8" t="s">
        <v>60</v>
      </c>
      <c r="E327" s="8" t="s">
        <v>19</v>
      </c>
      <c r="F327" s="8" t="s">
        <v>12</v>
      </c>
      <c r="G327" s="7">
        <v>105000</v>
      </c>
      <c r="H327" s="7">
        <v>60</v>
      </c>
      <c r="I327" s="7">
        <v>60</v>
      </c>
      <c r="J327" s="7">
        <v>80610.73</v>
      </c>
      <c r="K327" s="7">
        <v>58487.409483000003</v>
      </c>
      <c r="L327" s="7">
        <v>0</v>
      </c>
      <c r="M327" s="7">
        <v>27.44</v>
      </c>
      <c r="N327" s="7">
        <v>22.65</v>
      </c>
      <c r="O327" s="7">
        <v>519906.67</v>
      </c>
      <c r="P327" s="7">
        <v>377617.25475399999</v>
      </c>
      <c r="Q327" s="7">
        <v>0</v>
      </c>
      <c r="R327" s="7">
        <v>27.37</v>
      </c>
      <c r="S327" s="7">
        <v>58</v>
      </c>
      <c r="T327" s="7">
        <v>22</v>
      </c>
      <c r="U327" s="7">
        <v>22</v>
      </c>
      <c r="V327" s="7">
        <v>796</v>
      </c>
      <c r="W327" s="7">
        <v>18.670000000000002</v>
      </c>
      <c r="X327" s="7">
        <v>105000</v>
      </c>
      <c r="Y327" s="7">
        <v>0</v>
      </c>
      <c r="Z327" s="7">
        <v>2</v>
      </c>
      <c r="AA327" s="7">
        <v>24.16</v>
      </c>
      <c r="AB327" s="7">
        <v>2648</v>
      </c>
      <c r="AC327" s="7">
        <v>721000</v>
      </c>
      <c r="AD327" s="7">
        <v>721000</v>
      </c>
      <c r="AE327" s="7">
        <v>519906.67</v>
      </c>
      <c r="AF327" s="7">
        <v>463</v>
      </c>
      <c r="AG327" s="7">
        <v>327</v>
      </c>
      <c r="AH327" s="12">
        <v>463</v>
      </c>
    </row>
    <row r="328" spans="1:34" ht="21" hidden="1" x14ac:dyDescent="0.25">
      <c r="A328" s="11">
        <v>26</v>
      </c>
      <c r="B328" s="8" t="s">
        <v>13</v>
      </c>
      <c r="C328" s="7">
        <v>950</v>
      </c>
      <c r="D328" s="8" t="s">
        <v>61</v>
      </c>
      <c r="E328" s="8" t="s">
        <v>19</v>
      </c>
      <c r="F328" s="8" t="s">
        <v>12</v>
      </c>
      <c r="G328" s="7">
        <v>78000</v>
      </c>
      <c r="H328" s="7">
        <v>71</v>
      </c>
      <c r="I328" s="7">
        <v>71</v>
      </c>
      <c r="J328" s="7">
        <v>81841.47</v>
      </c>
      <c r="K328" s="7">
        <v>61117.314763000002</v>
      </c>
      <c r="L328" s="7">
        <v>0</v>
      </c>
      <c r="M328" s="7">
        <v>25.32</v>
      </c>
      <c r="N328" s="7">
        <v>22.12</v>
      </c>
      <c r="O328" s="7">
        <v>933054.95</v>
      </c>
      <c r="P328" s="7">
        <v>710042.85993000004</v>
      </c>
      <c r="Q328" s="7">
        <v>0</v>
      </c>
      <c r="R328" s="7">
        <v>23.9</v>
      </c>
      <c r="S328" s="7">
        <v>74</v>
      </c>
      <c r="T328" s="7">
        <v>22</v>
      </c>
      <c r="U328" s="7">
        <v>22</v>
      </c>
      <c r="V328" s="7">
        <v>339</v>
      </c>
      <c r="W328" s="7">
        <v>9.4499999999999993</v>
      </c>
      <c r="X328" s="7">
        <v>78000</v>
      </c>
      <c r="Y328" s="7">
        <v>613.95000000000005</v>
      </c>
      <c r="Z328" s="7">
        <v>0</v>
      </c>
      <c r="AA328" s="7">
        <v>26.63</v>
      </c>
      <c r="AB328" s="7">
        <v>2648</v>
      </c>
      <c r="AC328" s="7">
        <v>865000</v>
      </c>
      <c r="AD328" s="7">
        <v>865000</v>
      </c>
      <c r="AE328" s="7">
        <v>830922.56</v>
      </c>
      <c r="AF328" s="7">
        <v>664</v>
      </c>
      <c r="AG328" s="7">
        <v>525</v>
      </c>
      <c r="AH328" s="12">
        <v>664</v>
      </c>
    </row>
    <row r="329" spans="1:34" ht="21" hidden="1" x14ac:dyDescent="0.25">
      <c r="A329" s="11">
        <v>26</v>
      </c>
      <c r="B329" s="8" t="s">
        <v>13</v>
      </c>
      <c r="C329" s="7">
        <v>962</v>
      </c>
      <c r="D329" s="8" t="s">
        <v>63</v>
      </c>
      <c r="E329" s="8" t="s">
        <v>19</v>
      </c>
      <c r="F329" s="8" t="s">
        <v>12</v>
      </c>
      <c r="G329" s="7">
        <v>45000</v>
      </c>
      <c r="H329" s="7">
        <v>49</v>
      </c>
      <c r="I329" s="7">
        <v>49</v>
      </c>
      <c r="J329" s="7">
        <v>52647.14</v>
      </c>
      <c r="K329" s="7">
        <v>40591.048214000002</v>
      </c>
      <c r="L329" s="7">
        <v>0</v>
      </c>
      <c r="M329" s="7">
        <v>22.9</v>
      </c>
      <c r="N329" s="7">
        <v>20.02</v>
      </c>
      <c r="O329" s="7">
        <v>933054.95</v>
      </c>
      <c r="P329" s="7">
        <v>710042.85993000004</v>
      </c>
      <c r="Q329" s="7">
        <v>0</v>
      </c>
      <c r="R329" s="7">
        <v>23.9</v>
      </c>
      <c r="S329" s="7">
        <v>49</v>
      </c>
      <c r="T329" s="7">
        <v>22</v>
      </c>
      <c r="U329" s="7">
        <v>22</v>
      </c>
      <c r="V329" s="7">
        <v>426</v>
      </c>
      <c r="W329" s="7">
        <v>12.06</v>
      </c>
      <c r="X329" s="7">
        <v>45000</v>
      </c>
      <c r="Y329" s="7">
        <v>16.309999999999999</v>
      </c>
      <c r="Z329" s="7">
        <v>0</v>
      </c>
      <c r="AA329" s="7">
        <v>26.63</v>
      </c>
      <c r="AB329" s="7">
        <v>2648</v>
      </c>
      <c r="AC329" s="7">
        <v>865000</v>
      </c>
      <c r="AD329" s="7">
        <v>865000</v>
      </c>
      <c r="AE329" s="7">
        <v>830922.56</v>
      </c>
      <c r="AF329" s="7">
        <v>664</v>
      </c>
      <c r="AG329" s="7">
        <v>525</v>
      </c>
      <c r="AH329" s="12">
        <v>664</v>
      </c>
    </row>
    <row r="330" spans="1:34" ht="21" hidden="1" x14ac:dyDescent="0.25">
      <c r="A330" s="11">
        <v>4</v>
      </c>
      <c r="B330" s="8" t="s">
        <v>15</v>
      </c>
      <c r="C330" s="7">
        <v>977</v>
      </c>
      <c r="D330" s="8" t="s">
        <v>64</v>
      </c>
      <c r="E330" s="8" t="s">
        <v>19</v>
      </c>
      <c r="F330" s="8" t="s">
        <v>12</v>
      </c>
      <c r="G330" s="7">
        <v>150000</v>
      </c>
      <c r="H330" s="7">
        <v>104</v>
      </c>
      <c r="I330" s="7">
        <v>104</v>
      </c>
      <c r="J330" s="7">
        <v>115333.66</v>
      </c>
      <c r="K330" s="7">
        <v>83124.253907000006</v>
      </c>
      <c r="L330" s="7">
        <v>0</v>
      </c>
      <c r="M330" s="7">
        <v>27.93</v>
      </c>
      <c r="N330" s="7">
        <v>23.04</v>
      </c>
      <c r="O330" s="7">
        <v>519906.67</v>
      </c>
      <c r="P330" s="7">
        <v>377617.25475399999</v>
      </c>
      <c r="Q330" s="7">
        <v>0</v>
      </c>
      <c r="R330" s="7">
        <v>27.37</v>
      </c>
      <c r="S330" s="7">
        <v>61</v>
      </c>
      <c r="T330" s="7">
        <v>22</v>
      </c>
      <c r="U330" s="7">
        <v>22</v>
      </c>
      <c r="V330" s="7">
        <v>578</v>
      </c>
      <c r="W330" s="7">
        <v>16.02</v>
      </c>
      <c r="X330" s="7">
        <v>150000</v>
      </c>
      <c r="Y330" s="7">
        <v>0</v>
      </c>
      <c r="Z330" s="7">
        <v>2</v>
      </c>
      <c r="AA330" s="7">
        <v>24.16</v>
      </c>
      <c r="AB330" s="7">
        <v>2648</v>
      </c>
      <c r="AC330" s="7">
        <v>721000</v>
      </c>
      <c r="AD330" s="7">
        <v>721000</v>
      </c>
      <c r="AE330" s="7">
        <v>519906.67</v>
      </c>
      <c r="AF330" s="7">
        <v>463</v>
      </c>
      <c r="AG330" s="7">
        <v>327</v>
      </c>
      <c r="AH330" s="12">
        <v>463</v>
      </c>
    </row>
    <row r="331" spans="1:34" ht="21" hidden="1" x14ac:dyDescent="0.25">
      <c r="A331" s="11">
        <v>6</v>
      </c>
      <c r="B331" s="8" t="s">
        <v>142</v>
      </c>
      <c r="C331" s="7">
        <v>983</v>
      </c>
      <c r="D331" s="8" t="s">
        <v>138</v>
      </c>
      <c r="E331" s="8" t="s">
        <v>19</v>
      </c>
      <c r="F331" s="8" t="s">
        <v>12</v>
      </c>
      <c r="G331" s="7">
        <v>230000</v>
      </c>
      <c r="H331" s="7">
        <v>187</v>
      </c>
      <c r="I331" s="7">
        <v>187</v>
      </c>
      <c r="J331" s="7">
        <v>34618.67</v>
      </c>
      <c r="K331" s="7">
        <v>27889.760343999998</v>
      </c>
      <c r="L331" s="7">
        <v>0</v>
      </c>
      <c r="M331" s="7">
        <v>19.440000000000001</v>
      </c>
      <c r="N331" s="7">
        <v>21.72</v>
      </c>
      <c r="O331" s="7">
        <v>799790.07999999996</v>
      </c>
      <c r="P331" s="7">
        <v>605664.57214599999</v>
      </c>
      <c r="Q331" s="7">
        <v>0</v>
      </c>
      <c r="R331" s="7">
        <v>24.27</v>
      </c>
      <c r="S331" s="7">
        <v>27</v>
      </c>
      <c r="T331" s="7">
        <v>22</v>
      </c>
      <c r="U331" s="7">
        <v>22</v>
      </c>
      <c r="V331" s="7">
        <v>249</v>
      </c>
      <c r="W331" s="7">
        <v>10.199999999999999</v>
      </c>
      <c r="X331" s="7">
        <v>230000</v>
      </c>
      <c r="Y331" s="7">
        <v>0</v>
      </c>
      <c r="Z331" s="7">
        <v>0</v>
      </c>
      <c r="AA331" s="7">
        <v>20.43</v>
      </c>
      <c r="AB331" s="7">
        <v>2648</v>
      </c>
      <c r="AC331" s="7">
        <v>1006000</v>
      </c>
      <c r="AD331" s="7">
        <v>1006000</v>
      </c>
      <c r="AE331" s="7">
        <v>697731.87</v>
      </c>
      <c r="AF331" s="7">
        <v>899</v>
      </c>
      <c r="AG331" s="7">
        <v>589</v>
      </c>
      <c r="AH331" s="12">
        <v>899</v>
      </c>
    </row>
    <row r="332" spans="1:34" ht="21" hidden="1" x14ac:dyDescent="0.25">
      <c r="A332" s="11">
        <v>5</v>
      </c>
      <c r="B332" s="8" t="s">
        <v>143</v>
      </c>
      <c r="C332" s="7">
        <v>990</v>
      </c>
      <c r="D332" s="8" t="s">
        <v>136</v>
      </c>
      <c r="E332" s="8" t="s">
        <v>19</v>
      </c>
      <c r="F332" s="8" t="s">
        <v>12</v>
      </c>
      <c r="G332" s="7">
        <v>65000</v>
      </c>
      <c r="H332" s="7">
        <v>20</v>
      </c>
      <c r="I332" s="7">
        <v>20</v>
      </c>
      <c r="J332" s="7">
        <v>23111.89</v>
      </c>
      <c r="K332" s="7">
        <v>17625.905696000002</v>
      </c>
      <c r="L332" s="7">
        <v>0</v>
      </c>
      <c r="M332" s="7">
        <v>23.74</v>
      </c>
      <c r="N332" s="7">
        <v>27.78</v>
      </c>
      <c r="O332" s="7">
        <v>350890.02</v>
      </c>
      <c r="P332" s="7">
        <v>267719.45955999999</v>
      </c>
      <c r="Q332" s="7">
        <v>0</v>
      </c>
      <c r="R332" s="7">
        <v>23.7</v>
      </c>
      <c r="S332" s="7">
        <v>7</v>
      </c>
      <c r="T332" s="7">
        <v>22</v>
      </c>
      <c r="U332" s="7">
        <v>22</v>
      </c>
      <c r="V332" s="7">
        <v>61</v>
      </c>
      <c r="W332" s="7">
        <v>9.07</v>
      </c>
      <c r="X332" s="7">
        <v>65000</v>
      </c>
      <c r="Y332" s="7">
        <v>0</v>
      </c>
      <c r="Z332" s="7">
        <v>6</v>
      </c>
      <c r="AA332" s="7">
        <v>23</v>
      </c>
      <c r="AB332" s="7">
        <v>2648</v>
      </c>
      <c r="AC332" s="7">
        <v>380000</v>
      </c>
      <c r="AD332" s="7">
        <v>380000</v>
      </c>
      <c r="AE332" s="7">
        <v>287655.11</v>
      </c>
      <c r="AF332" s="7">
        <v>160</v>
      </c>
      <c r="AG332" s="7">
        <v>99</v>
      </c>
      <c r="AH332" s="12">
        <v>160</v>
      </c>
    </row>
    <row r="333" spans="1:34" ht="21" hidden="1" x14ac:dyDescent="0.25">
      <c r="A333" s="11">
        <v>26</v>
      </c>
      <c r="B333" s="8" t="s">
        <v>13</v>
      </c>
      <c r="C333" s="7">
        <v>1023</v>
      </c>
      <c r="D333" s="8" t="s">
        <v>66</v>
      </c>
      <c r="E333" s="8" t="s">
        <v>19</v>
      </c>
      <c r="F333" s="8" t="s">
        <v>12</v>
      </c>
      <c r="G333" s="7">
        <v>90000</v>
      </c>
      <c r="H333" s="7">
        <v>89</v>
      </c>
      <c r="I333" s="7">
        <v>89</v>
      </c>
      <c r="J333" s="7">
        <v>66859.97</v>
      </c>
      <c r="K333" s="7">
        <v>49492.116976999998</v>
      </c>
      <c r="L333" s="7">
        <v>0</v>
      </c>
      <c r="M333" s="7">
        <v>25.98</v>
      </c>
      <c r="N333" s="7">
        <v>21.85</v>
      </c>
      <c r="O333" s="7">
        <v>933054.95</v>
      </c>
      <c r="P333" s="7">
        <v>710042.85993000004</v>
      </c>
      <c r="Q333" s="7">
        <v>0</v>
      </c>
      <c r="R333" s="7">
        <v>23.9</v>
      </c>
      <c r="S333" s="7">
        <v>49</v>
      </c>
      <c r="T333" s="7">
        <v>22</v>
      </c>
      <c r="U333" s="7">
        <v>22</v>
      </c>
      <c r="V333" s="7">
        <v>394</v>
      </c>
      <c r="W333" s="7">
        <v>11.36</v>
      </c>
      <c r="X333" s="7">
        <v>90000</v>
      </c>
      <c r="Y333" s="7">
        <v>2731.55</v>
      </c>
      <c r="Z333" s="7">
        <v>1</v>
      </c>
      <c r="AA333" s="7">
        <v>26.63</v>
      </c>
      <c r="AB333" s="7">
        <v>2648</v>
      </c>
      <c r="AC333" s="7">
        <v>865000</v>
      </c>
      <c r="AD333" s="7">
        <v>865000</v>
      </c>
      <c r="AE333" s="7">
        <v>830922.56</v>
      </c>
      <c r="AF333" s="7">
        <v>664</v>
      </c>
      <c r="AG333" s="7">
        <v>525</v>
      </c>
      <c r="AH333" s="12">
        <v>664</v>
      </c>
    </row>
    <row r="334" spans="1:34" hidden="1" x14ac:dyDescent="0.25">
      <c r="A334" s="11">
        <v>2</v>
      </c>
      <c r="B334" s="8" t="s">
        <v>10</v>
      </c>
      <c r="C334" s="7">
        <v>1027</v>
      </c>
      <c r="D334" s="8" t="s">
        <v>127</v>
      </c>
      <c r="E334" s="8" t="s">
        <v>19</v>
      </c>
      <c r="F334" s="8" t="s">
        <v>12</v>
      </c>
      <c r="G334" s="7">
        <v>65000</v>
      </c>
      <c r="H334" s="7">
        <v>50</v>
      </c>
      <c r="I334" s="7">
        <v>50</v>
      </c>
      <c r="J334" s="7">
        <v>65803.34</v>
      </c>
      <c r="K334" s="7">
        <v>48869.005792999997</v>
      </c>
      <c r="L334" s="7">
        <v>0</v>
      </c>
      <c r="M334" s="7">
        <v>25.73</v>
      </c>
      <c r="N334" s="7">
        <v>25.04</v>
      </c>
      <c r="O334" s="7">
        <v>1080228.3700000001</v>
      </c>
      <c r="P334" s="7">
        <v>810319.896007</v>
      </c>
      <c r="Q334" s="7">
        <v>0</v>
      </c>
      <c r="R334" s="7">
        <v>24.99</v>
      </c>
      <c r="S334" s="7">
        <v>33</v>
      </c>
      <c r="T334" s="7">
        <v>22</v>
      </c>
      <c r="U334" s="7">
        <v>22</v>
      </c>
      <c r="V334" s="7">
        <v>422</v>
      </c>
      <c r="W334" s="7">
        <v>14.85</v>
      </c>
      <c r="X334" s="7">
        <v>65000</v>
      </c>
      <c r="Y334" s="7">
        <v>781.92</v>
      </c>
      <c r="Z334" s="7">
        <v>3</v>
      </c>
      <c r="AA334" s="7">
        <v>21.61</v>
      </c>
      <c r="AB334" s="7">
        <v>2648</v>
      </c>
      <c r="AC334" s="7">
        <v>1126000</v>
      </c>
      <c r="AD334" s="7">
        <v>1126000</v>
      </c>
      <c r="AE334" s="7">
        <v>949839.12</v>
      </c>
      <c r="AF334" s="7">
        <v>760</v>
      </c>
      <c r="AG334" s="7">
        <v>477</v>
      </c>
      <c r="AH334" s="12">
        <v>760</v>
      </c>
    </row>
    <row r="335" spans="1:34" ht="21" hidden="1" x14ac:dyDescent="0.25">
      <c r="A335" s="11">
        <v>12</v>
      </c>
      <c r="B335" s="8" t="s">
        <v>14</v>
      </c>
      <c r="C335" s="7">
        <v>1036</v>
      </c>
      <c r="D335" s="8" t="s">
        <v>45</v>
      </c>
      <c r="E335" s="8" t="s">
        <v>19</v>
      </c>
      <c r="F335" s="8" t="s">
        <v>12</v>
      </c>
      <c r="G335" s="7">
        <v>46000</v>
      </c>
      <c r="H335" s="7">
        <v>60</v>
      </c>
      <c r="I335" s="7">
        <v>60</v>
      </c>
      <c r="J335" s="7">
        <v>39562.58</v>
      </c>
      <c r="K335" s="7">
        <v>30142.317182999999</v>
      </c>
      <c r="L335" s="7">
        <v>0</v>
      </c>
      <c r="M335" s="7">
        <v>23.81</v>
      </c>
      <c r="N335" s="7">
        <v>12.71</v>
      </c>
      <c r="O335" s="7">
        <v>328927.56</v>
      </c>
      <c r="P335" s="7">
        <v>249677.97298300001</v>
      </c>
      <c r="Q335" s="7">
        <v>0</v>
      </c>
      <c r="R335" s="7">
        <v>24.09</v>
      </c>
      <c r="S335" s="7">
        <v>28</v>
      </c>
      <c r="T335" s="7">
        <v>22</v>
      </c>
      <c r="U335" s="7">
        <v>22</v>
      </c>
      <c r="V335" s="7">
        <v>160</v>
      </c>
      <c r="W335" s="7">
        <v>9.65</v>
      </c>
      <c r="X335" s="7">
        <v>46000</v>
      </c>
      <c r="Y335" s="7">
        <v>0</v>
      </c>
      <c r="Z335" s="7">
        <v>3</v>
      </c>
      <c r="AA335" s="7">
        <v>27.59</v>
      </c>
      <c r="AB335" s="7">
        <v>2648</v>
      </c>
      <c r="AC335" s="7">
        <v>645000</v>
      </c>
      <c r="AD335" s="7">
        <v>645000</v>
      </c>
      <c r="AE335" s="7">
        <v>392162.47</v>
      </c>
      <c r="AF335" s="7">
        <v>790</v>
      </c>
      <c r="AG335" s="7">
        <v>478</v>
      </c>
      <c r="AH335" s="12">
        <v>790</v>
      </c>
    </row>
    <row r="336" spans="1:34" ht="21" hidden="1" x14ac:dyDescent="0.25">
      <c r="A336" s="11">
        <v>12</v>
      </c>
      <c r="B336" s="8" t="s">
        <v>14</v>
      </c>
      <c r="C336" s="7">
        <v>1068</v>
      </c>
      <c r="D336" s="8" t="s">
        <v>67</v>
      </c>
      <c r="E336" s="8" t="s">
        <v>19</v>
      </c>
      <c r="F336" s="8" t="s">
        <v>12</v>
      </c>
      <c r="G336" s="7">
        <v>65000</v>
      </c>
      <c r="H336" s="7">
        <v>65</v>
      </c>
      <c r="I336" s="7">
        <v>65</v>
      </c>
      <c r="J336" s="7">
        <v>55289.89</v>
      </c>
      <c r="K336" s="7">
        <v>43257.669539000002</v>
      </c>
      <c r="L336" s="7">
        <v>0</v>
      </c>
      <c r="M336" s="7">
        <v>21.76</v>
      </c>
      <c r="N336" s="7">
        <v>21.55</v>
      </c>
      <c r="O336" s="7">
        <v>328927.56</v>
      </c>
      <c r="P336" s="7">
        <v>249677.97298300001</v>
      </c>
      <c r="Q336" s="7">
        <v>0</v>
      </c>
      <c r="R336" s="7">
        <v>24.09</v>
      </c>
      <c r="S336" s="7">
        <v>65</v>
      </c>
      <c r="T336" s="7">
        <v>22</v>
      </c>
      <c r="U336" s="7">
        <v>22</v>
      </c>
      <c r="V336" s="7">
        <v>300</v>
      </c>
      <c r="W336" s="7">
        <v>8.65</v>
      </c>
      <c r="X336" s="7">
        <v>65000</v>
      </c>
      <c r="Y336" s="7">
        <v>202.68</v>
      </c>
      <c r="Z336" s="7">
        <v>0</v>
      </c>
      <c r="AA336" s="7">
        <v>27.59</v>
      </c>
      <c r="AB336" s="7">
        <v>2648</v>
      </c>
      <c r="AC336" s="7">
        <v>645000</v>
      </c>
      <c r="AD336" s="7">
        <v>645000</v>
      </c>
      <c r="AE336" s="7">
        <v>392162.47</v>
      </c>
      <c r="AF336" s="7">
        <v>790</v>
      </c>
      <c r="AG336" s="7">
        <v>478</v>
      </c>
      <c r="AH336" s="12">
        <v>790</v>
      </c>
    </row>
    <row r="337" spans="1:34" ht="21" hidden="1" x14ac:dyDescent="0.25">
      <c r="A337" s="11">
        <v>5</v>
      </c>
      <c r="B337" s="8" t="s">
        <v>143</v>
      </c>
      <c r="C337" s="7">
        <v>1158</v>
      </c>
      <c r="D337" s="8" t="s">
        <v>139</v>
      </c>
      <c r="E337" s="8" t="s">
        <v>19</v>
      </c>
      <c r="F337" s="8" t="s">
        <v>12</v>
      </c>
      <c r="G337" s="7">
        <v>23000</v>
      </c>
      <c r="H337" s="7">
        <v>30</v>
      </c>
      <c r="I337" s="7">
        <v>30</v>
      </c>
      <c r="J337" s="7">
        <v>160.69999999999999</v>
      </c>
      <c r="K337" s="7">
        <v>462.55507999999998</v>
      </c>
      <c r="L337" s="7">
        <v>0</v>
      </c>
      <c r="M337" s="7">
        <v>-187.84</v>
      </c>
      <c r="N337" s="7">
        <v>1</v>
      </c>
      <c r="O337" s="7">
        <v>350890.02</v>
      </c>
      <c r="P337" s="7">
        <v>267719.45955999999</v>
      </c>
      <c r="Q337" s="7">
        <v>0</v>
      </c>
      <c r="R337" s="7">
        <v>23.7</v>
      </c>
      <c r="S337" s="7">
        <v>1</v>
      </c>
      <c r="T337" s="7">
        <v>22</v>
      </c>
      <c r="U337" s="7">
        <v>22</v>
      </c>
      <c r="V337" s="7">
        <v>7</v>
      </c>
      <c r="W337" s="7">
        <v>1.6</v>
      </c>
      <c r="X337" s="7">
        <v>23000</v>
      </c>
      <c r="Y337" s="7">
        <v>0</v>
      </c>
      <c r="Z337" s="7">
        <v>0</v>
      </c>
      <c r="AA337" s="7">
        <v>23</v>
      </c>
      <c r="AB337" s="7">
        <v>2648</v>
      </c>
      <c r="AC337" s="7">
        <v>380000</v>
      </c>
      <c r="AD337" s="7">
        <v>380000</v>
      </c>
      <c r="AE337" s="7">
        <v>287655.11</v>
      </c>
      <c r="AF337" s="7">
        <v>160</v>
      </c>
      <c r="AG337" s="7">
        <v>99</v>
      </c>
      <c r="AH337" s="12">
        <v>160</v>
      </c>
    </row>
    <row r="338" spans="1:34" ht="21" hidden="1" x14ac:dyDescent="0.25">
      <c r="A338" s="11">
        <v>6</v>
      </c>
      <c r="B338" s="8" t="s">
        <v>142</v>
      </c>
      <c r="C338" s="7">
        <v>1171</v>
      </c>
      <c r="D338" s="8" t="s">
        <v>68</v>
      </c>
      <c r="E338" s="8" t="s">
        <v>19</v>
      </c>
      <c r="F338" s="8" t="s">
        <v>12</v>
      </c>
      <c r="G338" s="7">
        <v>105000</v>
      </c>
      <c r="H338" s="7">
        <v>95</v>
      </c>
      <c r="I338" s="7">
        <v>95</v>
      </c>
      <c r="J338" s="7">
        <v>48960.72</v>
      </c>
      <c r="K338" s="7">
        <v>36224.117578999998</v>
      </c>
      <c r="L338" s="7">
        <v>0</v>
      </c>
      <c r="M338" s="7">
        <v>26.01</v>
      </c>
      <c r="N338" s="7">
        <v>21.91</v>
      </c>
      <c r="O338" s="7">
        <v>799790.07999999996</v>
      </c>
      <c r="P338" s="7">
        <v>605664.57214599999</v>
      </c>
      <c r="Q338" s="7">
        <v>0</v>
      </c>
      <c r="R338" s="7">
        <v>24.27</v>
      </c>
      <c r="S338" s="7">
        <v>43</v>
      </c>
      <c r="T338" s="7">
        <v>22</v>
      </c>
      <c r="U338" s="7">
        <v>22</v>
      </c>
      <c r="V338" s="7">
        <v>460</v>
      </c>
      <c r="W338" s="7">
        <v>17.7</v>
      </c>
      <c r="X338" s="7">
        <v>105000</v>
      </c>
      <c r="Y338" s="7">
        <v>8.93</v>
      </c>
      <c r="Z338" s="7">
        <v>0</v>
      </c>
      <c r="AA338" s="7">
        <v>20.43</v>
      </c>
      <c r="AB338" s="7">
        <v>2648</v>
      </c>
      <c r="AC338" s="7">
        <v>1006000</v>
      </c>
      <c r="AD338" s="7">
        <v>1006000</v>
      </c>
      <c r="AE338" s="7">
        <v>697731.87</v>
      </c>
      <c r="AF338" s="7">
        <v>899</v>
      </c>
      <c r="AG338" s="7">
        <v>589</v>
      </c>
      <c r="AH338" s="12">
        <v>899</v>
      </c>
    </row>
    <row r="339" spans="1:34" ht="21" hidden="1" x14ac:dyDescent="0.25">
      <c r="A339" s="11">
        <v>6</v>
      </c>
      <c r="B339" s="8" t="s">
        <v>142</v>
      </c>
      <c r="C339" s="7">
        <v>1237</v>
      </c>
      <c r="D339" s="8" t="s">
        <v>69</v>
      </c>
      <c r="E339" s="8" t="s">
        <v>19</v>
      </c>
      <c r="F339" s="8" t="s">
        <v>12</v>
      </c>
      <c r="G339" s="7">
        <v>65000</v>
      </c>
      <c r="H339" s="7">
        <v>69</v>
      </c>
      <c r="I339" s="7">
        <v>69</v>
      </c>
      <c r="J339" s="7">
        <v>65045.440000000002</v>
      </c>
      <c r="K339" s="7">
        <v>47637.770776999998</v>
      </c>
      <c r="L339" s="7">
        <v>0</v>
      </c>
      <c r="M339" s="7">
        <v>26.76</v>
      </c>
      <c r="N339" s="7">
        <v>21.09</v>
      </c>
      <c r="O339" s="7">
        <v>799790.07999999996</v>
      </c>
      <c r="P339" s="7">
        <v>605664.57214599999</v>
      </c>
      <c r="Q339" s="7">
        <v>0</v>
      </c>
      <c r="R339" s="7">
        <v>24.27</v>
      </c>
      <c r="S339" s="7">
        <v>61</v>
      </c>
      <c r="T339" s="7">
        <v>22</v>
      </c>
      <c r="U339" s="7">
        <v>22</v>
      </c>
      <c r="V339" s="7">
        <v>401</v>
      </c>
      <c r="W339" s="7">
        <v>12.79</v>
      </c>
      <c r="X339" s="7">
        <v>65000</v>
      </c>
      <c r="Y339" s="7">
        <v>0</v>
      </c>
      <c r="Z339" s="7">
        <v>0</v>
      </c>
      <c r="AA339" s="7">
        <v>20.43</v>
      </c>
      <c r="AB339" s="7">
        <v>2648</v>
      </c>
      <c r="AC339" s="7">
        <v>1006000</v>
      </c>
      <c r="AD339" s="7">
        <v>1006000</v>
      </c>
      <c r="AE339" s="7">
        <v>697731.87</v>
      </c>
      <c r="AF339" s="7">
        <v>899</v>
      </c>
      <c r="AG339" s="7">
        <v>589</v>
      </c>
      <c r="AH339" s="12">
        <v>899</v>
      </c>
    </row>
    <row r="340" spans="1:34" ht="21" hidden="1" x14ac:dyDescent="0.25">
      <c r="A340" s="11">
        <v>26</v>
      </c>
      <c r="B340" s="8" t="s">
        <v>13</v>
      </c>
      <c r="C340" s="7">
        <v>1238</v>
      </c>
      <c r="D340" s="8" t="s">
        <v>70</v>
      </c>
      <c r="E340" s="8" t="s">
        <v>19</v>
      </c>
      <c r="F340" s="8" t="s">
        <v>12</v>
      </c>
      <c r="G340" s="7">
        <v>40000</v>
      </c>
      <c r="H340" s="7">
        <v>15</v>
      </c>
      <c r="I340" s="7">
        <v>15</v>
      </c>
      <c r="J340" s="7">
        <v>32306.9</v>
      </c>
      <c r="K340" s="7">
        <v>24905.164388000001</v>
      </c>
      <c r="L340" s="7">
        <v>0</v>
      </c>
      <c r="M340" s="7">
        <v>22.91</v>
      </c>
      <c r="N340" s="7">
        <v>34.229999999999997</v>
      </c>
      <c r="O340" s="7">
        <v>933054.95</v>
      </c>
      <c r="P340" s="7">
        <v>710042.85993000004</v>
      </c>
      <c r="Q340" s="7">
        <v>0</v>
      </c>
      <c r="R340" s="7">
        <v>23.9</v>
      </c>
      <c r="S340" s="7">
        <v>16</v>
      </c>
      <c r="T340" s="7">
        <v>22</v>
      </c>
      <c r="U340" s="7">
        <v>22</v>
      </c>
      <c r="V340" s="7">
        <v>77</v>
      </c>
      <c r="W340" s="7">
        <v>6</v>
      </c>
      <c r="X340" s="7">
        <v>40000</v>
      </c>
      <c r="Y340" s="7">
        <v>1595.82</v>
      </c>
      <c r="Z340" s="7">
        <v>0</v>
      </c>
      <c r="AA340" s="7">
        <v>26.63</v>
      </c>
      <c r="AB340" s="7">
        <v>2648</v>
      </c>
      <c r="AC340" s="7">
        <v>865000</v>
      </c>
      <c r="AD340" s="7">
        <v>865000</v>
      </c>
      <c r="AE340" s="7">
        <v>830922.56</v>
      </c>
      <c r="AF340" s="7">
        <v>664</v>
      </c>
      <c r="AG340" s="7">
        <v>525</v>
      </c>
      <c r="AH340" s="12">
        <v>664</v>
      </c>
    </row>
    <row r="341" spans="1:34" ht="21" hidden="1" x14ac:dyDescent="0.25">
      <c r="A341" s="11">
        <v>6</v>
      </c>
      <c r="B341" s="8" t="s">
        <v>142</v>
      </c>
      <c r="C341" s="7">
        <v>1241</v>
      </c>
      <c r="D341" s="8" t="s">
        <v>54</v>
      </c>
      <c r="E341" s="8" t="s">
        <v>19</v>
      </c>
      <c r="F341" s="8" t="s">
        <v>12</v>
      </c>
      <c r="G341" s="7">
        <v>0</v>
      </c>
      <c r="H341" s="7">
        <v>0</v>
      </c>
      <c r="I341" s="7">
        <v>0</v>
      </c>
      <c r="J341" s="7">
        <v>22655.919999999998</v>
      </c>
      <c r="K341" s="7">
        <v>17331.638890999999</v>
      </c>
      <c r="L341" s="7">
        <v>0</v>
      </c>
      <c r="M341" s="7">
        <v>23.5</v>
      </c>
      <c r="N341" s="7">
        <v>20.399999999999999</v>
      </c>
      <c r="O341" s="7">
        <v>799790.07999999996</v>
      </c>
      <c r="P341" s="7">
        <v>605664.57214599999</v>
      </c>
      <c r="Q341" s="7">
        <v>0</v>
      </c>
      <c r="R341" s="7">
        <v>24.27</v>
      </c>
      <c r="S341" s="7">
        <v>27</v>
      </c>
      <c r="T341" s="7">
        <v>22</v>
      </c>
      <c r="U341" s="7">
        <v>22</v>
      </c>
      <c r="V341" s="7">
        <v>219</v>
      </c>
      <c r="W341" s="7">
        <v>11.34</v>
      </c>
      <c r="X341" s="7">
        <v>0</v>
      </c>
      <c r="Y341" s="7">
        <v>213.07</v>
      </c>
      <c r="Z341" s="7">
        <v>0</v>
      </c>
      <c r="AA341" s="7">
        <v>20.43</v>
      </c>
      <c r="AB341" s="7">
        <v>2648</v>
      </c>
      <c r="AC341" s="7">
        <v>1006000</v>
      </c>
      <c r="AD341" s="7">
        <v>1006000</v>
      </c>
      <c r="AE341" s="7">
        <v>697731.87</v>
      </c>
      <c r="AF341" s="7">
        <v>899</v>
      </c>
      <c r="AG341" s="7">
        <v>589</v>
      </c>
      <c r="AH341" s="12">
        <v>899</v>
      </c>
    </row>
    <row r="342" spans="1:34" ht="21" hidden="1" x14ac:dyDescent="0.25">
      <c r="A342" s="11">
        <v>26</v>
      </c>
      <c r="B342" s="8" t="s">
        <v>13</v>
      </c>
      <c r="C342" s="7">
        <v>1265</v>
      </c>
      <c r="D342" s="8" t="s">
        <v>71</v>
      </c>
      <c r="E342" s="8" t="s">
        <v>19</v>
      </c>
      <c r="F342" s="8" t="s">
        <v>12</v>
      </c>
      <c r="G342" s="7">
        <v>130000</v>
      </c>
      <c r="H342" s="7">
        <v>125</v>
      </c>
      <c r="I342" s="7">
        <v>125</v>
      </c>
      <c r="J342" s="7">
        <v>136807.37</v>
      </c>
      <c r="K342" s="7">
        <v>104245.442388</v>
      </c>
      <c r="L342" s="7">
        <v>0</v>
      </c>
      <c r="M342" s="7">
        <v>23.8</v>
      </c>
      <c r="N342" s="7">
        <v>25.58</v>
      </c>
      <c r="O342" s="7">
        <v>933054.95</v>
      </c>
      <c r="P342" s="7">
        <v>710042.85993000004</v>
      </c>
      <c r="Q342" s="7">
        <v>0</v>
      </c>
      <c r="R342" s="7">
        <v>23.9</v>
      </c>
      <c r="S342" s="7">
        <v>80</v>
      </c>
      <c r="T342" s="7">
        <v>22</v>
      </c>
      <c r="U342" s="7">
        <v>22</v>
      </c>
      <c r="V342" s="7">
        <v>349</v>
      </c>
      <c r="W342" s="7">
        <v>8.4600000000000009</v>
      </c>
      <c r="X342" s="7">
        <v>130000</v>
      </c>
      <c r="Y342" s="7">
        <v>664.5</v>
      </c>
      <c r="Z342" s="7">
        <v>0</v>
      </c>
      <c r="AA342" s="7">
        <v>26.63</v>
      </c>
      <c r="AB342" s="7">
        <v>2648</v>
      </c>
      <c r="AC342" s="7">
        <v>865000</v>
      </c>
      <c r="AD342" s="7">
        <v>865000</v>
      </c>
      <c r="AE342" s="7">
        <v>830922.56</v>
      </c>
      <c r="AF342" s="7">
        <v>664</v>
      </c>
      <c r="AG342" s="7">
        <v>525</v>
      </c>
      <c r="AH342" s="12">
        <v>664</v>
      </c>
    </row>
    <row r="343" spans="1:34" ht="21" hidden="1" x14ac:dyDescent="0.25">
      <c r="A343" s="11">
        <v>10</v>
      </c>
      <c r="B343" s="8" t="s">
        <v>180</v>
      </c>
      <c r="C343" s="7">
        <v>1271</v>
      </c>
      <c r="D343" s="8" t="s">
        <v>72</v>
      </c>
      <c r="E343" s="8" t="s">
        <v>19</v>
      </c>
      <c r="F343" s="8" t="s">
        <v>12</v>
      </c>
      <c r="G343" s="7">
        <v>80000</v>
      </c>
      <c r="H343" s="7">
        <v>65</v>
      </c>
      <c r="I343" s="7">
        <v>65</v>
      </c>
      <c r="J343" s="7">
        <v>108807.43</v>
      </c>
      <c r="K343" s="7">
        <v>82627.114352000004</v>
      </c>
      <c r="L343" s="7">
        <v>0</v>
      </c>
      <c r="M343" s="7">
        <v>24.06</v>
      </c>
      <c r="N343" s="7">
        <v>16.329999999999998</v>
      </c>
      <c r="O343" s="7">
        <v>0</v>
      </c>
      <c r="P343" s="7">
        <v>0</v>
      </c>
      <c r="Q343" s="7">
        <v>0</v>
      </c>
      <c r="R343" s="7">
        <v>0</v>
      </c>
      <c r="S343" s="7">
        <v>78</v>
      </c>
      <c r="T343" s="7">
        <v>22</v>
      </c>
      <c r="U343" s="7">
        <v>22</v>
      </c>
      <c r="V343" s="7">
        <v>539</v>
      </c>
      <c r="W343" s="7">
        <v>10.47</v>
      </c>
      <c r="X343" s="7">
        <v>80000</v>
      </c>
      <c r="Y343" s="7">
        <v>1228.08</v>
      </c>
      <c r="Z343" s="7">
        <v>0</v>
      </c>
      <c r="AA343" s="7">
        <v>0</v>
      </c>
      <c r="AB343" s="7">
        <v>2648</v>
      </c>
      <c r="AC343" s="7">
        <v>610000</v>
      </c>
      <c r="AD343" s="7">
        <v>610000</v>
      </c>
      <c r="AE343" s="7">
        <v>494578.26</v>
      </c>
      <c r="AF343" s="7">
        <v>471</v>
      </c>
      <c r="AG343" s="7">
        <v>461</v>
      </c>
      <c r="AH343" s="12">
        <v>471</v>
      </c>
    </row>
    <row r="344" spans="1:34" hidden="1" x14ac:dyDescent="0.25">
      <c r="A344" s="11">
        <v>2</v>
      </c>
      <c r="B344" s="8" t="s">
        <v>10</v>
      </c>
      <c r="C344" s="7">
        <v>1280</v>
      </c>
      <c r="D344" s="8" t="s">
        <v>73</v>
      </c>
      <c r="E344" s="8" t="s">
        <v>19</v>
      </c>
      <c r="F344" s="8" t="s">
        <v>12</v>
      </c>
      <c r="G344" s="7">
        <v>88000</v>
      </c>
      <c r="H344" s="7">
        <v>60</v>
      </c>
      <c r="I344" s="7">
        <v>60</v>
      </c>
      <c r="J344" s="7">
        <v>88947.85</v>
      </c>
      <c r="K344" s="7">
        <v>64867.582399999999</v>
      </c>
      <c r="L344" s="7">
        <v>0</v>
      </c>
      <c r="M344" s="7">
        <v>27.07</v>
      </c>
      <c r="N344" s="7">
        <v>21.52</v>
      </c>
      <c r="O344" s="7">
        <v>1080228.3700000001</v>
      </c>
      <c r="P344" s="7">
        <v>810319.896007</v>
      </c>
      <c r="Q344" s="7">
        <v>0</v>
      </c>
      <c r="R344" s="7">
        <v>24.99</v>
      </c>
      <c r="S344" s="7">
        <v>29</v>
      </c>
      <c r="T344" s="7">
        <v>22</v>
      </c>
      <c r="U344" s="7">
        <v>22</v>
      </c>
      <c r="V344" s="7">
        <v>650</v>
      </c>
      <c r="W344" s="7">
        <v>23.04</v>
      </c>
      <c r="X344" s="7">
        <v>88000</v>
      </c>
      <c r="Y344" s="7">
        <v>32.549999999999997</v>
      </c>
      <c r="Z344" s="7">
        <v>1</v>
      </c>
      <c r="AA344" s="7">
        <v>21.61</v>
      </c>
      <c r="AB344" s="7">
        <v>2648</v>
      </c>
      <c r="AC344" s="7">
        <v>1126000</v>
      </c>
      <c r="AD344" s="7">
        <v>1126000</v>
      </c>
      <c r="AE344" s="7">
        <v>949839.12</v>
      </c>
      <c r="AF344" s="7">
        <v>760</v>
      </c>
      <c r="AG344" s="7">
        <v>477</v>
      </c>
      <c r="AH344" s="12">
        <v>760</v>
      </c>
    </row>
    <row r="345" spans="1:34" ht="21" hidden="1" x14ac:dyDescent="0.25">
      <c r="A345" s="11">
        <v>17</v>
      </c>
      <c r="B345" s="8" t="s">
        <v>16</v>
      </c>
      <c r="C345" s="7">
        <v>1292</v>
      </c>
      <c r="D345" s="8" t="s">
        <v>74</v>
      </c>
      <c r="E345" s="8" t="s">
        <v>19</v>
      </c>
      <c r="F345" s="8" t="s">
        <v>12</v>
      </c>
      <c r="G345" s="7">
        <v>100000</v>
      </c>
      <c r="H345" s="7">
        <v>55</v>
      </c>
      <c r="I345" s="7">
        <v>55</v>
      </c>
      <c r="J345" s="7">
        <v>90816.57</v>
      </c>
      <c r="K345" s="7">
        <v>63575.243076999999</v>
      </c>
      <c r="L345" s="7">
        <v>0</v>
      </c>
      <c r="M345" s="7">
        <v>30</v>
      </c>
      <c r="N345" s="7">
        <v>23.51</v>
      </c>
      <c r="O345" s="7">
        <v>326151.40000000002</v>
      </c>
      <c r="P345" s="7">
        <v>231237.277481</v>
      </c>
      <c r="Q345" s="7">
        <v>0</v>
      </c>
      <c r="R345" s="7">
        <v>29.1</v>
      </c>
      <c r="S345" s="7">
        <v>45</v>
      </c>
      <c r="T345" s="7">
        <v>22</v>
      </c>
      <c r="U345" s="7">
        <v>22</v>
      </c>
      <c r="V345" s="7">
        <v>556</v>
      </c>
      <c r="W345" s="7">
        <v>17.41</v>
      </c>
      <c r="X345" s="7">
        <v>100000</v>
      </c>
      <c r="Y345" s="7">
        <v>0</v>
      </c>
      <c r="Z345" s="7">
        <v>0</v>
      </c>
      <c r="AA345" s="7">
        <v>23.12</v>
      </c>
      <c r="AB345" s="7">
        <v>2648</v>
      </c>
      <c r="AC345" s="7">
        <v>573000</v>
      </c>
      <c r="AD345" s="7">
        <v>573000</v>
      </c>
      <c r="AE345" s="7">
        <v>326151.40000000002</v>
      </c>
      <c r="AF345" s="7">
        <v>315</v>
      </c>
      <c r="AG345" s="7">
        <v>139</v>
      </c>
      <c r="AH345" s="12">
        <v>315</v>
      </c>
    </row>
    <row r="346" spans="1:34" ht="21" hidden="1" x14ac:dyDescent="0.25">
      <c r="A346" s="11">
        <v>12</v>
      </c>
      <c r="B346" s="8" t="s">
        <v>14</v>
      </c>
      <c r="C346" s="7">
        <v>1330</v>
      </c>
      <c r="D346" s="8" t="s">
        <v>45</v>
      </c>
      <c r="E346" s="8" t="s">
        <v>19</v>
      </c>
      <c r="F346" s="8" t="s">
        <v>12</v>
      </c>
      <c r="G346" s="7">
        <v>55000</v>
      </c>
      <c r="H346" s="7">
        <v>70</v>
      </c>
      <c r="I346" s="7">
        <v>70</v>
      </c>
      <c r="J346" s="7">
        <v>21916.78</v>
      </c>
      <c r="K346" s="7">
        <v>17240.912414999999</v>
      </c>
      <c r="L346" s="7">
        <v>0</v>
      </c>
      <c r="M346" s="7">
        <v>21.33</v>
      </c>
      <c r="N346" s="7">
        <v>12.82</v>
      </c>
      <c r="O346" s="7">
        <v>328927.56</v>
      </c>
      <c r="P346" s="7">
        <v>249677.97298300001</v>
      </c>
      <c r="Q346" s="7">
        <v>0</v>
      </c>
      <c r="R346" s="7">
        <v>24.09</v>
      </c>
      <c r="S346" s="7">
        <v>30</v>
      </c>
      <c r="T346" s="7">
        <v>22</v>
      </c>
      <c r="U346" s="7">
        <v>22</v>
      </c>
      <c r="V346" s="7">
        <v>126</v>
      </c>
      <c r="W346" s="7">
        <v>7.23</v>
      </c>
      <c r="X346" s="7">
        <v>55000</v>
      </c>
      <c r="Y346" s="7">
        <v>380.88</v>
      </c>
      <c r="Z346" s="7">
        <v>0</v>
      </c>
      <c r="AA346" s="7">
        <v>27.59</v>
      </c>
      <c r="AB346" s="7">
        <v>2648</v>
      </c>
      <c r="AC346" s="7">
        <v>645000</v>
      </c>
      <c r="AD346" s="7">
        <v>645000</v>
      </c>
      <c r="AE346" s="7">
        <v>392162.47</v>
      </c>
      <c r="AF346" s="7">
        <v>790</v>
      </c>
      <c r="AG346" s="7">
        <v>478</v>
      </c>
      <c r="AH346" s="12">
        <v>790</v>
      </c>
    </row>
    <row r="347" spans="1:34" ht="21" hidden="1" x14ac:dyDescent="0.25">
      <c r="A347" s="11">
        <v>26</v>
      </c>
      <c r="B347" s="8" t="s">
        <v>13</v>
      </c>
      <c r="C347" s="7">
        <v>1336</v>
      </c>
      <c r="D347" s="8" t="s">
        <v>75</v>
      </c>
      <c r="E347" s="8" t="s">
        <v>19</v>
      </c>
      <c r="F347" s="8" t="s">
        <v>12</v>
      </c>
      <c r="G347" s="7">
        <v>0</v>
      </c>
      <c r="H347" s="7">
        <v>0</v>
      </c>
      <c r="I347" s="7">
        <v>0</v>
      </c>
      <c r="J347" s="7">
        <v>1118.28</v>
      </c>
      <c r="K347" s="7">
        <v>836.13176999999996</v>
      </c>
      <c r="L347" s="7">
        <v>0</v>
      </c>
      <c r="M347" s="7">
        <v>25.23</v>
      </c>
      <c r="N347" s="7">
        <v>21</v>
      </c>
      <c r="O347" s="7">
        <v>933054.95</v>
      </c>
      <c r="P347" s="7">
        <v>710042.85993000004</v>
      </c>
      <c r="Q347" s="7">
        <v>0</v>
      </c>
      <c r="R347" s="7">
        <v>23.9</v>
      </c>
      <c r="S347" s="7">
        <v>1</v>
      </c>
      <c r="T347" s="7">
        <v>22</v>
      </c>
      <c r="U347" s="7">
        <v>22</v>
      </c>
      <c r="V347" s="7">
        <v>16</v>
      </c>
      <c r="W347" s="7">
        <v>16</v>
      </c>
      <c r="X347" s="7">
        <v>0</v>
      </c>
      <c r="Y347" s="7">
        <v>16.350000000000001</v>
      </c>
      <c r="Z347" s="7">
        <v>0</v>
      </c>
      <c r="AA347" s="7">
        <v>26.63</v>
      </c>
      <c r="AB347" s="7">
        <v>2648</v>
      </c>
      <c r="AC347" s="7">
        <v>865000</v>
      </c>
      <c r="AD347" s="7">
        <v>865000</v>
      </c>
      <c r="AE347" s="7">
        <v>830922.56</v>
      </c>
      <c r="AF347" s="7">
        <v>664</v>
      </c>
      <c r="AG347" s="7">
        <v>525</v>
      </c>
      <c r="AH347" s="12">
        <v>664</v>
      </c>
    </row>
    <row r="348" spans="1:34" ht="21" hidden="1" x14ac:dyDescent="0.25">
      <c r="A348" s="11">
        <v>6</v>
      </c>
      <c r="B348" s="8" t="s">
        <v>142</v>
      </c>
      <c r="C348" s="7">
        <v>1337</v>
      </c>
      <c r="D348" s="8" t="s">
        <v>128</v>
      </c>
      <c r="E348" s="8" t="s">
        <v>19</v>
      </c>
      <c r="F348" s="8" t="s">
        <v>12</v>
      </c>
      <c r="G348" s="7">
        <v>65000</v>
      </c>
      <c r="H348" s="7">
        <v>61</v>
      </c>
      <c r="I348" s="7">
        <v>61</v>
      </c>
      <c r="J348" s="7">
        <v>56601.58</v>
      </c>
      <c r="K348" s="7">
        <v>42649.948635000001</v>
      </c>
      <c r="L348" s="7">
        <v>0</v>
      </c>
      <c r="M348" s="7">
        <v>24.65</v>
      </c>
      <c r="N348" s="7">
        <v>15.84</v>
      </c>
      <c r="O348" s="7">
        <v>799790.07999999996</v>
      </c>
      <c r="P348" s="7">
        <v>605664.57214599999</v>
      </c>
      <c r="Q348" s="7">
        <v>0</v>
      </c>
      <c r="R348" s="7">
        <v>24.27</v>
      </c>
      <c r="S348" s="7">
        <v>55</v>
      </c>
      <c r="T348" s="7">
        <v>22</v>
      </c>
      <c r="U348" s="7">
        <v>22</v>
      </c>
      <c r="V348" s="7">
        <v>241</v>
      </c>
      <c r="W348" s="7">
        <v>9.67</v>
      </c>
      <c r="X348" s="7">
        <v>65000</v>
      </c>
      <c r="Y348" s="7">
        <v>0</v>
      </c>
      <c r="Z348" s="7">
        <v>0</v>
      </c>
      <c r="AA348" s="7">
        <v>20.43</v>
      </c>
      <c r="AB348" s="7">
        <v>2648</v>
      </c>
      <c r="AC348" s="7">
        <v>1006000</v>
      </c>
      <c r="AD348" s="7">
        <v>1006000</v>
      </c>
      <c r="AE348" s="7">
        <v>697731.87</v>
      </c>
      <c r="AF348" s="7">
        <v>899</v>
      </c>
      <c r="AG348" s="7">
        <v>589</v>
      </c>
      <c r="AH348" s="12">
        <v>899</v>
      </c>
    </row>
    <row r="349" spans="1:34" ht="21" hidden="1" x14ac:dyDescent="0.25">
      <c r="A349" s="11">
        <v>17</v>
      </c>
      <c r="B349" s="8" t="s">
        <v>16</v>
      </c>
      <c r="C349" s="7">
        <v>1343</v>
      </c>
      <c r="D349" s="8" t="s">
        <v>76</v>
      </c>
      <c r="E349" s="8" t="s">
        <v>19</v>
      </c>
      <c r="F349" s="8" t="s">
        <v>12</v>
      </c>
      <c r="G349" s="7">
        <v>40000</v>
      </c>
      <c r="H349" s="7">
        <v>1</v>
      </c>
      <c r="I349" s="7">
        <v>1</v>
      </c>
      <c r="J349" s="7">
        <v>5314.88</v>
      </c>
      <c r="K349" s="7">
        <v>3611.969822</v>
      </c>
      <c r="L349" s="7">
        <v>0</v>
      </c>
      <c r="M349" s="7">
        <v>32.04</v>
      </c>
      <c r="N349" s="7">
        <v>28</v>
      </c>
      <c r="O349" s="7">
        <v>326151.40000000002</v>
      </c>
      <c r="P349" s="7">
        <v>231237.277481</v>
      </c>
      <c r="Q349" s="7">
        <v>0</v>
      </c>
      <c r="R349" s="7">
        <v>29.1</v>
      </c>
      <c r="S349" s="7">
        <v>1</v>
      </c>
      <c r="T349" s="7">
        <v>22</v>
      </c>
      <c r="U349" s="7">
        <v>22</v>
      </c>
      <c r="V349" s="7">
        <v>85</v>
      </c>
      <c r="W349" s="7">
        <v>85</v>
      </c>
      <c r="X349" s="7">
        <v>40000</v>
      </c>
      <c r="Y349" s="7">
        <v>0</v>
      </c>
      <c r="Z349" s="7">
        <v>0</v>
      </c>
      <c r="AA349" s="7">
        <v>23.12</v>
      </c>
      <c r="AB349" s="7">
        <v>2648</v>
      </c>
      <c r="AC349" s="7">
        <v>573000</v>
      </c>
      <c r="AD349" s="7">
        <v>573000</v>
      </c>
      <c r="AE349" s="7">
        <v>326151.40000000002</v>
      </c>
      <c r="AF349" s="7">
        <v>315</v>
      </c>
      <c r="AG349" s="7">
        <v>139</v>
      </c>
      <c r="AH349" s="12">
        <v>315</v>
      </c>
    </row>
    <row r="350" spans="1:34" ht="21" hidden="1" x14ac:dyDescent="0.25">
      <c r="A350" s="11">
        <v>10</v>
      </c>
      <c r="B350" s="8" t="s">
        <v>180</v>
      </c>
      <c r="C350" s="7">
        <v>1359</v>
      </c>
      <c r="D350" s="8" t="s">
        <v>77</v>
      </c>
      <c r="E350" s="8" t="s">
        <v>19</v>
      </c>
      <c r="F350" s="8" t="s">
        <v>12</v>
      </c>
      <c r="G350" s="7">
        <v>75000</v>
      </c>
      <c r="H350" s="7">
        <v>50</v>
      </c>
      <c r="I350" s="7">
        <v>50</v>
      </c>
      <c r="J350" s="7">
        <v>37270.379999999997</v>
      </c>
      <c r="K350" s="7">
        <v>28414.922620000001</v>
      </c>
      <c r="L350" s="7">
        <v>0</v>
      </c>
      <c r="M350" s="7">
        <v>23.76</v>
      </c>
      <c r="N350" s="7">
        <v>26.7</v>
      </c>
      <c r="O350" s="7">
        <v>0</v>
      </c>
      <c r="P350" s="7">
        <v>0</v>
      </c>
      <c r="Q350" s="7">
        <v>0</v>
      </c>
      <c r="R350" s="7">
        <v>0</v>
      </c>
      <c r="S350" s="7">
        <v>31</v>
      </c>
      <c r="T350" s="7">
        <v>22</v>
      </c>
      <c r="U350" s="7">
        <v>22</v>
      </c>
      <c r="V350" s="7">
        <v>206</v>
      </c>
      <c r="W350" s="7">
        <v>11.82</v>
      </c>
      <c r="X350" s="7">
        <v>75000</v>
      </c>
      <c r="Y350" s="7">
        <v>0</v>
      </c>
      <c r="Z350" s="7">
        <v>0</v>
      </c>
      <c r="AA350" s="7">
        <v>0</v>
      </c>
      <c r="AB350" s="7">
        <v>2648</v>
      </c>
      <c r="AC350" s="7">
        <v>610000</v>
      </c>
      <c r="AD350" s="7">
        <v>610000</v>
      </c>
      <c r="AE350" s="7">
        <v>494578.26</v>
      </c>
      <c r="AF350" s="7">
        <v>471</v>
      </c>
      <c r="AG350" s="7">
        <v>461</v>
      </c>
      <c r="AH350" s="12">
        <v>471</v>
      </c>
    </row>
    <row r="351" spans="1:34" ht="21" hidden="1" x14ac:dyDescent="0.25">
      <c r="A351" s="11">
        <v>6</v>
      </c>
      <c r="B351" s="8" t="s">
        <v>142</v>
      </c>
      <c r="C351" s="7">
        <v>1385</v>
      </c>
      <c r="D351" s="8" t="s">
        <v>78</v>
      </c>
      <c r="E351" s="8" t="s">
        <v>19</v>
      </c>
      <c r="F351" s="8" t="s">
        <v>12</v>
      </c>
      <c r="G351" s="7">
        <v>75000</v>
      </c>
      <c r="H351" s="7">
        <v>77</v>
      </c>
      <c r="I351" s="7">
        <v>77</v>
      </c>
      <c r="J351" s="7">
        <v>66507.98</v>
      </c>
      <c r="K351" s="7">
        <v>50051.441190999998</v>
      </c>
      <c r="L351" s="7">
        <v>0</v>
      </c>
      <c r="M351" s="7">
        <v>24.74</v>
      </c>
      <c r="N351" s="7">
        <v>15.08</v>
      </c>
      <c r="O351" s="7">
        <v>799790.07999999996</v>
      </c>
      <c r="P351" s="7">
        <v>605664.57214599999</v>
      </c>
      <c r="Q351" s="7">
        <v>0</v>
      </c>
      <c r="R351" s="7">
        <v>24.27</v>
      </c>
      <c r="S351" s="7">
        <v>68</v>
      </c>
      <c r="T351" s="7">
        <v>22</v>
      </c>
      <c r="U351" s="7">
        <v>22</v>
      </c>
      <c r="V351" s="7">
        <v>516</v>
      </c>
      <c r="W351" s="7">
        <v>13.71</v>
      </c>
      <c r="X351" s="7">
        <v>75000</v>
      </c>
      <c r="Y351" s="7">
        <v>1041.67</v>
      </c>
      <c r="Z351" s="7">
        <v>1</v>
      </c>
      <c r="AA351" s="7">
        <v>20.43</v>
      </c>
      <c r="AB351" s="7">
        <v>2648</v>
      </c>
      <c r="AC351" s="7">
        <v>1006000</v>
      </c>
      <c r="AD351" s="7">
        <v>1006000</v>
      </c>
      <c r="AE351" s="7">
        <v>697731.87</v>
      </c>
      <c r="AF351" s="7">
        <v>899</v>
      </c>
      <c r="AG351" s="7">
        <v>589</v>
      </c>
      <c r="AH351" s="12">
        <v>899</v>
      </c>
    </row>
    <row r="352" spans="1:34" ht="21" hidden="1" x14ac:dyDescent="0.25">
      <c r="A352" s="11">
        <v>20</v>
      </c>
      <c r="B352" s="8" t="s">
        <v>30</v>
      </c>
      <c r="C352" s="7">
        <v>1387</v>
      </c>
      <c r="D352" s="8" t="s">
        <v>79</v>
      </c>
      <c r="E352" s="8" t="s">
        <v>19</v>
      </c>
      <c r="F352" s="8" t="s">
        <v>12</v>
      </c>
      <c r="G352" s="7">
        <v>0</v>
      </c>
      <c r="H352" s="7">
        <v>0</v>
      </c>
      <c r="I352" s="7">
        <v>0</v>
      </c>
      <c r="J352" s="7">
        <v>1707.97</v>
      </c>
      <c r="K352" s="7">
        <v>1352.238531</v>
      </c>
      <c r="L352" s="7">
        <v>0</v>
      </c>
      <c r="M352" s="7">
        <v>20.83</v>
      </c>
      <c r="N352" s="7">
        <v>30.61</v>
      </c>
      <c r="O352" s="7">
        <v>332890.5</v>
      </c>
      <c r="P352" s="7">
        <v>251273.091338</v>
      </c>
      <c r="Q352" s="7">
        <v>0</v>
      </c>
      <c r="R352" s="7">
        <v>24.52</v>
      </c>
      <c r="S352" s="7">
        <v>2</v>
      </c>
      <c r="T352" s="7">
        <v>22</v>
      </c>
      <c r="U352" s="7">
        <v>22</v>
      </c>
      <c r="V352" s="7">
        <v>21</v>
      </c>
      <c r="W352" s="7">
        <v>10.5</v>
      </c>
      <c r="X352" s="7">
        <v>0</v>
      </c>
      <c r="Y352" s="7">
        <v>1404.9</v>
      </c>
      <c r="Z352" s="7">
        <v>0</v>
      </c>
      <c r="AA352" s="7">
        <v>31.26</v>
      </c>
      <c r="AB352" s="7">
        <v>2648</v>
      </c>
      <c r="AC352" s="7">
        <v>275000</v>
      </c>
      <c r="AD352" s="7">
        <v>275000</v>
      </c>
      <c r="AE352" s="7">
        <v>68510.98</v>
      </c>
      <c r="AF352" s="7">
        <v>260</v>
      </c>
      <c r="AG352" s="7">
        <v>68</v>
      </c>
      <c r="AH352" s="12">
        <v>260</v>
      </c>
    </row>
    <row r="353" spans="1:34" ht="21" hidden="1" x14ac:dyDescent="0.25">
      <c r="A353" s="11">
        <v>12</v>
      </c>
      <c r="B353" s="8" t="s">
        <v>14</v>
      </c>
      <c r="C353" s="7">
        <v>1390</v>
      </c>
      <c r="D353" s="8" t="s">
        <v>80</v>
      </c>
      <c r="E353" s="8" t="s">
        <v>19</v>
      </c>
      <c r="F353" s="8" t="s">
        <v>12</v>
      </c>
      <c r="G353" s="7">
        <v>55000</v>
      </c>
      <c r="H353" s="7">
        <v>60</v>
      </c>
      <c r="I353" s="7">
        <v>60</v>
      </c>
      <c r="J353" s="7">
        <v>33479.199999999997</v>
      </c>
      <c r="K353" s="7">
        <v>25230.406018000001</v>
      </c>
      <c r="L353" s="7">
        <v>0</v>
      </c>
      <c r="M353" s="7">
        <v>24.64</v>
      </c>
      <c r="N353" s="7">
        <v>16.059999999999999</v>
      </c>
      <c r="O353" s="7">
        <v>328927.56</v>
      </c>
      <c r="P353" s="7">
        <v>249677.97298300001</v>
      </c>
      <c r="Q353" s="7">
        <v>0</v>
      </c>
      <c r="R353" s="7">
        <v>24.09</v>
      </c>
      <c r="S353" s="7">
        <v>49</v>
      </c>
      <c r="T353" s="7">
        <v>22</v>
      </c>
      <c r="U353" s="7">
        <v>22</v>
      </c>
      <c r="V353" s="7">
        <v>237</v>
      </c>
      <c r="W353" s="7">
        <v>12.89</v>
      </c>
      <c r="X353" s="7">
        <v>55000</v>
      </c>
      <c r="Y353" s="7">
        <v>0</v>
      </c>
      <c r="Z353" s="7">
        <v>0</v>
      </c>
      <c r="AA353" s="7">
        <v>27.59</v>
      </c>
      <c r="AB353" s="7">
        <v>2648</v>
      </c>
      <c r="AC353" s="7">
        <v>645000</v>
      </c>
      <c r="AD353" s="7">
        <v>645000</v>
      </c>
      <c r="AE353" s="7">
        <v>392162.47</v>
      </c>
      <c r="AF353" s="7">
        <v>790</v>
      </c>
      <c r="AG353" s="7">
        <v>478</v>
      </c>
      <c r="AH353" s="12">
        <v>790</v>
      </c>
    </row>
    <row r="354" spans="1:34" ht="21" hidden="1" x14ac:dyDescent="0.25">
      <c r="A354" s="11">
        <v>26</v>
      </c>
      <c r="B354" s="8" t="s">
        <v>13</v>
      </c>
      <c r="C354" s="7">
        <v>1394</v>
      </c>
      <c r="D354" s="8" t="s">
        <v>81</v>
      </c>
      <c r="E354" s="8" t="s">
        <v>19</v>
      </c>
      <c r="F354" s="8" t="s">
        <v>12</v>
      </c>
      <c r="G354" s="7">
        <v>50000</v>
      </c>
      <c r="H354" s="7">
        <v>60</v>
      </c>
      <c r="I354" s="7">
        <v>60</v>
      </c>
      <c r="J354" s="7">
        <v>42789.21</v>
      </c>
      <c r="K354" s="7">
        <v>32113.273641</v>
      </c>
      <c r="L354" s="7">
        <v>0</v>
      </c>
      <c r="M354" s="7">
        <v>24.95</v>
      </c>
      <c r="N354" s="7">
        <v>22.19</v>
      </c>
      <c r="O354" s="7">
        <v>933054.95</v>
      </c>
      <c r="P354" s="7">
        <v>710042.85993000004</v>
      </c>
      <c r="Q354" s="7">
        <v>0</v>
      </c>
      <c r="R354" s="7">
        <v>23.9</v>
      </c>
      <c r="S354" s="7">
        <v>54</v>
      </c>
      <c r="T354" s="7">
        <v>22</v>
      </c>
      <c r="U354" s="7">
        <v>22</v>
      </c>
      <c r="V354" s="7">
        <v>305</v>
      </c>
      <c r="W354" s="7">
        <v>9.36</v>
      </c>
      <c r="X354" s="7">
        <v>50000</v>
      </c>
      <c r="Y354" s="7">
        <v>1494.47</v>
      </c>
      <c r="Z354" s="7">
        <v>1</v>
      </c>
      <c r="AA354" s="7">
        <v>26.63</v>
      </c>
      <c r="AB354" s="7">
        <v>2648</v>
      </c>
      <c r="AC354" s="7">
        <v>865000</v>
      </c>
      <c r="AD354" s="7">
        <v>865000</v>
      </c>
      <c r="AE354" s="7">
        <v>830922.56</v>
      </c>
      <c r="AF354" s="7">
        <v>664</v>
      </c>
      <c r="AG354" s="7">
        <v>525</v>
      </c>
      <c r="AH354" s="12">
        <v>664</v>
      </c>
    </row>
    <row r="355" spans="1:34" ht="21" hidden="1" x14ac:dyDescent="0.25">
      <c r="A355" s="11">
        <v>12</v>
      </c>
      <c r="B355" s="8" t="s">
        <v>14</v>
      </c>
      <c r="C355" s="7">
        <v>1402</v>
      </c>
      <c r="D355" s="8" t="s">
        <v>82</v>
      </c>
      <c r="E355" s="8" t="s">
        <v>19</v>
      </c>
      <c r="F355" s="8" t="s">
        <v>12</v>
      </c>
      <c r="G355" s="7">
        <v>50000</v>
      </c>
      <c r="H355" s="7">
        <v>60</v>
      </c>
      <c r="I355" s="7">
        <v>60</v>
      </c>
      <c r="J355" s="7">
        <v>51276.77</v>
      </c>
      <c r="K355" s="7">
        <v>37900.199916999998</v>
      </c>
      <c r="L355" s="7">
        <v>0</v>
      </c>
      <c r="M355" s="7">
        <v>26.09</v>
      </c>
      <c r="N355" s="7">
        <v>27.87</v>
      </c>
      <c r="O355" s="7">
        <v>328927.56</v>
      </c>
      <c r="P355" s="7">
        <v>249677.97298300001</v>
      </c>
      <c r="Q355" s="7">
        <v>0</v>
      </c>
      <c r="R355" s="7">
        <v>24.09</v>
      </c>
      <c r="S355" s="7">
        <v>45</v>
      </c>
      <c r="T355" s="7">
        <v>22</v>
      </c>
      <c r="U355" s="7">
        <v>22</v>
      </c>
      <c r="V355" s="7">
        <v>213</v>
      </c>
      <c r="W355" s="7">
        <v>5.73</v>
      </c>
      <c r="X355" s="7">
        <v>50000</v>
      </c>
      <c r="Y355" s="7">
        <v>5654.96</v>
      </c>
      <c r="Z355" s="7">
        <v>2</v>
      </c>
      <c r="AA355" s="7">
        <v>27.59</v>
      </c>
      <c r="AB355" s="7">
        <v>2648</v>
      </c>
      <c r="AC355" s="7">
        <v>645000</v>
      </c>
      <c r="AD355" s="7">
        <v>645000</v>
      </c>
      <c r="AE355" s="7">
        <v>392162.47</v>
      </c>
      <c r="AF355" s="7">
        <v>790</v>
      </c>
      <c r="AG355" s="7">
        <v>478</v>
      </c>
      <c r="AH355" s="12">
        <v>790</v>
      </c>
    </row>
    <row r="356" spans="1:34" ht="21" hidden="1" x14ac:dyDescent="0.25">
      <c r="A356" s="11">
        <v>5</v>
      </c>
      <c r="B356" s="8" t="s">
        <v>143</v>
      </c>
      <c r="C356" s="7">
        <v>1404</v>
      </c>
      <c r="D356" s="8" t="s">
        <v>120</v>
      </c>
      <c r="E356" s="8" t="s">
        <v>19</v>
      </c>
      <c r="F356" s="8" t="s">
        <v>12</v>
      </c>
      <c r="G356" s="7">
        <v>30000</v>
      </c>
      <c r="H356" s="7">
        <v>30</v>
      </c>
      <c r="I356" s="7">
        <v>30</v>
      </c>
      <c r="J356" s="7">
        <v>6473.57</v>
      </c>
      <c r="K356" s="7">
        <v>4748.2153369999996</v>
      </c>
      <c r="L356" s="7">
        <v>0</v>
      </c>
      <c r="M356" s="7">
        <v>26.65</v>
      </c>
      <c r="N356" s="7">
        <v>19.07</v>
      </c>
      <c r="O356" s="7">
        <v>350890.02</v>
      </c>
      <c r="P356" s="7">
        <v>267719.45955999999</v>
      </c>
      <c r="Q356" s="7">
        <v>0</v>
      </c>
      <c r="R356" s="7">
        <v>23.7</v>
      </c>
      <c r="S356" s="7">
        <v>8</v>
      </c>
      <c r="T356" s="7">
        <v>22</v>
      </c>
      <c r="U356" s="7">
        <v>22</v>
      </c>
      <c r="V356" s="7">
        <v>78</v>
      </c>
      <c r="W356" s="7">
        <v>12</v>
      </c>
      <c r="X356" s="7">
        <v>30000</v>
      </c>
      <c r="Y356" s="7">
        <v>0</v>
      </c>
      <c r="Z356" s="7">
        <v>2</v>
      </c>
      <c r="AA356" s="7">
        <v>23</v>
      </c>
      <c r="AB356" s="7">
        <v>2648</v>
      </c>
      <c r="AC356" s="7">
        <v>380000</v>
      </c>
      <c r="AD356" s="7">
        <v>380000</v>
      </c>
      <c r="AE356" s="7">
        <v>287655.11</v>
      </c>
      <c r="AF356" s="7">
        <v>160</v>
      </c>
      <c r="AG356" s="7">
        <v>99</v>
      </c>
      <c r="AH356" s="12">
        <v>160</v>
      </c>
    </row>
    <row r="357" spans="1:34" ht="21" hidden="1" x14ac:dyDescent="0.25">
      <c r="A357" s="11">
        <v>17</v>
      </c>
      <c r="B357" s="8" t="s">
        <v>16</v>
      </c>
      <c r="C357" s="7">
        <v>1431</v>
      </c>
      <c r="D357" s="8" t="s">
        <v>49</v>
      </c>
      <c r="E357" s="8" t="s">
        <v>19</v>
      </c>
      <c r="F357" s="8" t="s">
        <v>12</v>
      </c>
      <c r="G357" s="7">
        <v>138000</v>
      </c>
      <c r="H357" s="7">
        <v>86</v>
      </c>
      <c r="I357" s="7">
        <v>86</v>
      </c>
      <c r="J357" s="7">
        <v>4471.8</v>
      </c>
      <c r="K357" s="7">
        <v>3106.266717</v>
      </c>
      <c r="L357" s="7">
        <v>0</v>
      </c>
      <c r="M357" s="7">
        <v>30.54</v>
      </c>
      <c r="N357" s="7">
        <v>33.25</v>
      </c>
      <c r="O357" s="7">
        <v>326151.40000000002</v>
      </c>
      <c r="P357" s="7">
        <v>231237.277481</v>
      </c>
      <c r="Q357" s="7">
        <v>0</v>
      </c>
      <c r="R357" s="7">
        <v>29.1</v>
      </c>
      <c r="S357" s="7">
        <v>1</v>
      </c>
      <c r="T357" s="7">
        <v>22</v>
      </c>
      <c r="U357" s="7">
        <v>22</v>
      </c>
      <c r="V357" s="7">
        <v>23</v>
      </c>
      <c r="W357" s="7">
        <v>6.25</v>
      </c>
      <c r="X357" s="7">
        <v>138000</v>
      </c>
      <c r="Y357" s="7">
        <v>0</v>
      </c>
      <c r="Z357" s="7">
        <v>1</v>
      </c>
      <c r="AA357" s="7">
        <v>23.12</v>
      </c>
      <c r="AB357" s="7">
        <v>2648</v>
      </c>
      <c r="AC357" s="7">
        <v>573000</v>
      </c>
      <c r="AD357" s="7">
        <v>573000</v>
      </c>
      <c r="AE357" s="7">
        <v>326151.40000000002</v>
      </c>
      <c r="AF357" s="7">
        <v>315</v>
      </c>
      <c r="AG357" s="7">
        <v>139</v>
      </c>
      <c r="AH357" s="12">
        <v>315</v>
      </c>
    </row>
    <row r="358" spans="1:34" ht="21" hidden="1" x14ac:dyDescent="0.25">
      <c r="A358" s="11">
        <v>10</v>
      </c>
      <c r="B358" s="8" t="s">
        <v>180</v>
      </c>
      <c r="C358" s="7">
        <v>1450</v>
      </c>
      <c r="D358" s="8" t="s">
        <v>86</v>
      </c>
      <c r="E358" s="8" t="s">
        <v>19</v>
      </c>
      <c r="F358" s="8" t="s">
        <v>12</v>
      </c>
      <c r="G358" s="7">
        <v>75000</v>
      </c>
      <c r="H358" s="7">
        <v>65</v>
      </c>
      <c r="I358" s="7">
        <v>65</v>
      </c>
      <c r="J358" s="7">
        <v>83372.94</v>
      </c>
      <c r="K358" s="7">
        <v>62527.571412999998</v>
      </c>
      <c r="L358" s="7">
        <v>0</v>
      </c>
      <c r="M358" s="7">
        <v>25</v>
      </c>
      <c r="N358" s="7">
        <v>20.83</v>
      </c>
      <c r="O358" s="7">
        <v>0</v>
      </c>
      <c r="P358" s="7">
        <v>0</v>
      </c>
      <c r="Q358" s="7">
        <v>0</v>
      </c>
      <c r="R358" s="7">
        <v>0</v>
      </c>
      <c r="S358" s="7">
        <v>80</v>
      </c>
      <c r="T358" s="7">
        <v>22</v>
      </c>
      <c r="U358" s="7">
        <v>22</v>
      </c>
      <c r="V358" s="7">
        <v>677</v>
      </c>
      <c r="W358" s="7">
        <v>19.95</v>
      </c>
      <c r="X358" s="7">
        <v>75000</v>
      </c>
      <c r="Y358" s="7">
        <v>14.57</v>
      </c>
      <c r="Z358" s="7">
        <v>1</v>
      </c>
      <c r="AA358" s="7">
        <v>0</v>
      </c>
      <c r="AB358" s="7">
        <v>2648</v>
      </c>
      <c r="AC358" s="7">
        <v>610000</v>
      </c>
      <c r="AD358" s="7">
        <v>610000</v>
      </c>
      <c r="AE358" s="7">
        <v>494578.26</v>
      </c>
      <c r="AF358" s="7">
        <v>471</v>
      </c>
      <c r="AG358" s="7">
        <v>461</v>
      </c>
      <c r="AH358" s="12">
        <v>471</v>
      </c>
    </row>
    <row r="359" spans="1:34" hidden="1" x14ac:dyDescent="0.25">
      <c r="A359" s="11">
        <v>2</v>
      </c>
      <c r="B359" s="8" t="s">
        <v>10</v>
      </c>
      <c r="C359" s="7">
        <v>1457</v>
      </c>
      <c r="D359" s="8" t="s">
        <v>42</v>
      </c>
      <c r="E359" s="8" t="s">
        <v>19</v>
      </c>
      <c r="F359" s="8" t="s">
        <v>12</v>
      </c>
      <c r="G359" s="7">
        <v>87000</v>
      </c>
      <c r="H359" s="7">
        <v>69</v>
      </c>
      <c r="I359" s="7">
        <v>69</v>
      </c>
      <c r="J359" s="7">
        <v>73230.77</v>
      </c>
      <c r="K359" s="7">
        <v>55702.094323999998</v>
      </c>
      <c r="L359" s="7">
        <v>0</v>
      </c>
      <c r="M359" s="7">
        <v>23.94</v>
      </c>
      <c r="N359" s="7">
        <v>26.96</v>
      </c>
      <c r="O359" s="7">
        <v>1080228.3700000001</v>
      </c>
      <c r="P359" s="7">
        <v>810319.896007</v>
      </c>
      <c r="Q359" s="7">
        <v>0</v>
      </c>
      <c r="R359" s="7">
        <v>24.99</v>
      </c>
      <c r="S359" s="7">
        <v>45</v>
      </c>
      <c r="T359" s="7">
        <v>22</v>
      </c>
      <c r="U359" s="7">
        <v>22</v>
      </c>
      <c r="V359" s="7">
        <v>435</v>
      </c>
      <c r="W359" s="7">
        <v>13.57</v>
      </c>
      <c r="X359" s="7">
        <v>87000</v>
      </c>
      <c r="Y359" s="7">
        <v>6908.06</v>
      </c>
      <c r="Z359" s="7">
        <v>1</v>
      </c>
      <c r="AA359" s="7">
        <v>21.61</v>
      </c>
      <c r="AB359" s="7">
        <v>2648</v>
      </c>
      <c r="AC359" s="7">
        <v>1126000</v>
      </c>
      <c r="AD359" s="7">
        <v>1126000</v>
      </c>
      <c r="AE359" s="7">
        <v>949839.12</v>
      </c>
      <c r="AF359" s="7">
        <v>760</v>
      </c>
      <c r="AG359" s="7">
        <v>477</v>
      </c>
      <c r="AH359" s="12">
        <v>760</v>
      </c>
    </row>
    <row r="360" spans="1:34" ht="21" hidden="1" x14ac:dyDescent="0.25">
      <c r="A360" s="11">
        <v>6</v>
      </c>
      <c r="B360" s="8" t="s">
        <v>142</v>
      </c>
      <c r="C360" s="7">
        <v>1466</v>
      </c>
      <c r="D360" s="8" t="s">
        <v>87</v>
      </c>
      <c r="E360" s="8" t="s">
        <v>19</v>
      </c>
      <c r="F360" s="8" t="s">
        <v>12</v>
      </c>
      <c r="G360" s="7">
        <v>130000</v>
      </c>
      <c r="H360" s="7">
        <v>120</v>
      </c>
      <c r="I360" s="7">
        <v>120</v>
      </c>
      <c r="J360" s="7">
        <v>72364.259999999995</v>
      </c>
      <c r="K360" s="7">
        <v>56147.486973999999</v>
      </c>
      <c r="L360" s="7">
        <v>0</v>
      </c>
      <c r="M360" s="7">
        <v>22.41</v>
      </c>
      <c r="N360" s="7">
        <v>20.71</v>
      </c>
      <c r="O360" s="7">
        <v>799790.07999999996</v>
      </c>
      <c r="P360" s="7">
        <v>605664.57214599999</v>
      </c>
      <c r="Q360" s="7">
        <v>0</v>
      </c>
      <c r="R360" s="7">
        <v>24.27</v>
      </c>
      <c r="S360" s="7">
        <v>46</v>
      </c>
      <c r="T360" s="7">
        <v>22</v>
      </c>
      <c r="U360" s="7">
        <v>22</v>
      </c>
      <c r="V360" s="7">
        <v>361</v>
      </c>
      <c r="W360" s="7">
        <v>12.31</v>
      </c>
      <c r="X360" s="7">
        <v>130000</v>
      </c>
      <c r="Y360" s="7">
        <v>2519.33</v>
      </c>
      <c r="Z360" s="7">
        <v>1</v>
      </c>
      <c r="AA360" s="7">
        <v>20.43</v>
      </c>
      <c r="AB360" s="7">
        <v>2648</v>
      </c>
      <c r="AC360" s="7">
        <v>1006000</v>
      </c>
      <c r="AD360" s="7">
        <v>1006000</v>
      </c>
      <c r="AE360" s="7">
        <v>697731.87</v>
      </c>
      <c r="AF360" s="7">
        <v>899</v>
      </c>
      <c r="AG360" s="7">
        <v>589</v>
      </c>
      <c r="AH360" s="12">
        <v>899</v>
      </c>
    </row>
    <row r="361" spans="1:34" ht="21" hidden="1" x14ac:dyDescent="0.25">
      <c r="A361" s="11">
        <v>4</v>
      </c>
      <c r="B361" s="8" t="s">
        <v>15</v>
      </c>
      <c r="C361" s="7">
        <v>1473</v>
      </c>
      <c r="D361" s="8" t="s">
        <v>88</v>
      </c>
      <c r="E361" s="8" t="s">
        <v>19</v>
      </c>
      <c r="F361" s="8" t="s">
        <v>12</v>
      </c>
      <c r="G361" s="7">
        <v>105000</v>
      </c>
      <c r="H361" s="7">
        <v>80</v>
      </c>
      <c r="I361" s="7">
        <v>80</v>
      </c>
      <c r="J361" s="7">
        <v>88010.17</v>
      </c>
      <c r="K361" s="7">
        <v>67078.251571999994</v>
      </c>
      <c r="L361" s="7">
        <v>0</v>
      </c>
      <c r="M361" s="7">
        <v>23.78</v>
      </c>
      <c r="N361" s="7">
        <v>26.5</v>
      </c>
      <c r="O361" s="7">
        <v>519906.67</v>
      </c>
      <c r="P361" s="7">
        <v>377617.25475399999</v>
      </c>
      <c r="Q361" s="7">
        <v>0</v>
      </c>
      <c r="R361" s="7">
        <v>27.37</v>
      </c>
      <c r="S361" s="7">
        <v>43</v>
      </c>
      <c r="T361" s="7">
        <v>22</v>
      </c>
      <c r="U361" s="7">
        <v>22</v>
      </c>
      <c r="V361" s="7">
        <v>579</v>
      </c>
      <c r="W361" s="7">
        <v>15.81</v>
      </c>
      <c r="X361" s="7">
        <v>105000</v>
      </c>
      <c r="Y361" s="7">
        <v>0</v>
      </c>
      <c r="Z361" s="7">
        <v>0</v>
      </c>
      <c r="AA361" s="7">
        <v>24.16</v>
      </c>
      <c r="AB361" s="7">
        <v>2648</v>
      </c>
      <c r="AC361" s="7">
        <v>721000</v>
      </c>
      <c r="AD361" s="7">
        <v>721000</v>
      </c>
      <c r="AE361" s="7">
        <v>519906.67</v>
      </c>
      <c r="AF361" s="7">
        <v>463</v>
      </c>
      <c r="AG361" s="7">
        <v>327</v>
      </c>
      <c r="AH361" s="12">
        <v>463</v>
      </c>
    </row>
    <row r="362" spans="1:34" ht="21" hidden="1" x14ac:dyDescent="0.25">
      <c r="A362" s="11">
        <v>17</v>
      </c>
      <c r="B362" s="8" t="s">
        <v>16</v>
      </c>
      <c r="C362" s="7">
        <v>1475</v>
      </c>
      <c r="D362" s="8" t="s">
        <v>82</v>
      </c>
      <c r="E362" s="8" t="s">
        <v>19</v>
      </c>
      <c r="F362" s="8" t="s">
        <v>12</v>
      </c>
      <c r="G362" s="7">
        <v>95000</v>
      </c>
      <c r="H362" s="7">
        <v>54</v>
      </c>
      <c r="I362" s="7">
        <v>54</v>
      </c>
      <c r="J362" s="7">
        <v>91543.55</v>
      </c>
      <c r="K362" s="7">
        <v>65422.501047999998</v>
      </c>
      <c r="L362" s="7">
        <v>0</v>
      </c>
      <c r="M362" s="7">
        <v>28.53</v>
      </c>
      <c r="N362" s="7">
        <v>20.73</v>
      </c>
      <c r="O362" s="7">
        <v>326151.40000000002</v>
      </c>
      <c r="P362" s="7">
        <v>231237.277481</v>
      </c>
      <c r="Q362" s="7">
        <v>0</v>
      </c>
      <c r="R362" s="7">
        <v>29.1</v>
      </c>
      <c r="S362" s="7">
        <v>29</v>
      </c>
      <c r="T362" s="7">
        <v>22</v>
      </c>
      <c r="U362" s="7">
        <v>22</v>
      </c>
      <c r="V362" s="7">
        <v>252</v>
      </c>
      <c r="W362" s="7">
        <v>13.02</v>
      </c>
      <c r="X362" s="7">
        <v>95000</v>
      </c>
      <c r="Y362" s="7">
        <v>0</v>
      </c>
      <c r="Z362" s="7">
        <v>2</v>
      </c>
      <c r="AA362" s="7">
        <v>23.12</v>
      </c>
      <c r="AB362" s="7">
        <v>2648</v>
      </c>
      <c r="AC362" s="7">
        <v>573000</v>
      </c>
      <c r="AD362" s="7">
        <v>573000</v>
      </c>
      <c r="AE362" s="7">
        <v>326151.40000000002</v>
      </c>
      <c r="AF362" s="7">
        <v>315</v>
      </c>
      <c r="AG362" s="7">
        <v>139</v>
      </c>
      <c r="AH362" s="12">
        <v>315</v>
      </c>
    </row>
    <row r="363" spans="1:34" ht="21" hidden="1" x14ac:dyDescent="0.25">
      <c r="A363" s="11">
        <v>10</v>
      </c>
      <c r="B363" s="8" t="s">
        <v>180</v>
      </c>
      <c r="C363" s="7">
        <v>1486</v>
      </c>
      <c r="D363" s="8" t="s">
        <v>89</v>
      </c>
      <c r="E363" s="8" t="s">
        <v>19</v>
      </c>
      <c r="F363" s="8" t="s">
        <v>12</v>
      </c>
      <c r="G363" s="7">
        <v>40000</v>
      </c>
      <c r="H363" s="7">
        <v>25</v>
      </c>
      <c r="I363" s="7">
        <v>25</v>
      </c>
      <c r="J363" s="7">
        <v>17988.310000000001</v>
      </c>
      <c r="K363" s="7">
        <v>13272.413103000001</v>
      </c>
      <c r="L363" s="7">
        <v>0</v>
      </c>
      <c r="M363" s="7">
        <v>26.22</v>
      </c>
      <c r="N363" s="7">
        <v>25.17</v>
      </c>
      <c r="O363" s="7">
        <v>0</v>
      </c>
      <c r="P363" s="7">
        <v>0</v>
      </c>
      <c r="Q363" s="7">
        <v>0</v>
      </c>
      <c r="R363" s="7">
        <v>0</v>
      </c>
      <c r="S363" s="7">
        <v>19</v>
      </c>
      <c r="T363" s="7">
        <v>22</v>
      </c>
      <c r="U363" s="7">
        <v>22</v>
      </c>
      <c r="V363" s="7">
        <v>109</v>
      </c>
      <c r="W363" s="7">
        <v>7.46</v>
      </c>
      <c r="X363" s="7">
        <v>40000</v>
      </c>
      <c r="Y363" s="7">
        <v>0</v>
      </c>
      <c r="Z363" s="7">
        <v>1</v>
      </c>
      <c r="AA363" s="7">
        <v>0</v>
      </c>
      <c r="AB363" s="7">
        <v>2648</v>
      </c>
      <c r="AC363" s="7">
        <v>610000</v>
      </c>
      <c r="AD363" s="7">
        <v>610000</v>
      </c>
      <c r="AE363" s="7">
        <v>494578.26</v>
      </c>
      <c r="AF363" s="7">
        <v>471</v>
      </c>
      <c r="AG363" s="7">
        <v>461</v>
      </c>
      <c r="AH363" s="12">
        <v>471</v>
      </c>
    </row>
    <row r="364" spans="1:34" ht="21" hidden="1" x14ac:dyDescent="0.25">
      <c r="A364" s="11">
        <v>20</v>
      </c>
      <c r="B364" s="8" t="s">
        <v>30</v>
      </c>
      <c r="C364" s="7">
        <v>1493</v>
      </c>
      <c r="D364" s="8" t="s">
        <v>90</v>
      </c>
      <c r="E364" s="8" t="s">
        <v>19</v>
      </c>
      <c r="F364" s="8" t="s">
        <v>12</v>
      </c>
      <c r="G364" s="7">
        <v>45000</v>
      </c>
      <c r="H364" s="7">
        <v>40</v>
      </c>
      <c r="I364" s="7">
        <v>40</v>
      </c>
      <c r="J364" s="7">
        <v>22023.52</v>
      </c>
      <c r="K364" s="7">
        <v>15884.286732</v>
      </c>
      <c r="L364" s="7">
        <v>0</v>
      </c>
      <c r="M364" s="7">
        <v>27.88</v>
      </c>
      <c r="N364" s="7">
        <v>24.79</v>
      </c>
      <c r="O364" s="7">
        <v>332890.5</v>
      </c>
      <c r="P364" s="7">
        <v>251273.091338</v>
      </c>
      <c r="Q364" s="7">
        <v>0</v>
      </c>
      <c r="R364" s="7">
        <v>24.52</v>
      </c>
      <c r="S364" s="7">
        <v>29</v>
      </c>
      <c r="T364" s="7">
        <v>22</v>
      </c>
      <c r="U364" s="7">
        <v>22</v>
      </c>
      <c r="V364" s="7">
        <v>126</v>
      </c>
      <c r="W364" s="7">
        <v>6.32</v>
      </c>
      <c r="X364" s="7">
        <v>45000</v>
      </c>
      <c r="Y364" s="7">
        <v>11.59</v>
      </c>
      <c r="Z364" s="7">
        <v>0</v>
      </c>
      <c r="AA364" s="7">
        <v>31.26</v>
      </c>
      <c r="AB364" s="7">
        <v>2648</v>
      </c>
      <c r="AC364" s="7">
        <v>275000</v>
      </c>
      <c r="AD364" s="7">
        <v>275000</v>
      </c>
      <c r="AE364" s="7">
        <v>68510.98</v>
      </c>
      <c r="AF364" s="7">
        <v>260</v>
      </c>
      <c r="AG364" s="7">
        <v>68</v>
      </c>
      <c r="AH364" s="12">
        <v>260</v>
      </c>
    </row>
    <row r="365" spans="1:34" ht="21" hidden="1" x14ac:dyDescent="0.25">
      <c r="A365" s="11">
        <v>17</v>
      </c>
      <c r="B365" s="8" t="s">
        <v>16</v>
      </c>
      <c r="C365" s="7">
        <v>1497</v>
      </c>
      <c r="D365" s="8" t="s">
        <v>91</v>
      </c>
      <c r="E365" s="8" t="s">
        <v>19</v>
      </c>
      <c r="F365" s="8" t="s">
        <v>12</v>
      </c>
      <c r="G365" s="7">
        <v>80000</v>
      </c>
      <c r="H365" s="7">
        <v>36</v>
      </c>
      <c r="I365" s="7">
        <v>36</v>
      </c>
      <c r="J365" s="7">
        <v>55244.35</v>
      </c>
      <c r="K365" s="7">
        <v>39874.769143999998</v>
      </c>
      <c r="L365" s="7">
        <v>0</v>
      </c>
      <c r="M365" s="7">
        <v>27.82</v>
      </c>
      <c r="N365" s="7">
        <v>22.86</v>
      </c>
      <c r="O365" s="7">
        <v>326151.40000000002</v>
      </c>
      <c r="P365" s="7">
        <v>231237.277481</v>
      </c>
      <c r="Q365" s="7">
        <v>0</v>
      </c>
      <c r="R365" s="7">
        <v>29.1</v>
      </c>
      <c r="S365" s="7">
        <v>23</v>
      </c>
      <c r="T365" s="7">
        <v>22</v>
      </c>
      <c r="U365" s="7">
        <v>22</v>
      </c>
      <c r="V365" s="7">
        <v>395</v>
      </c>
      <c r="W365" s="7">
        <v>21.09</v>
      </c>
      <c r="X365" s="7">
        <v>80000</v>
      </c>
      <c r="Y365" s="7">
        <v>0</v>
      </c>
      <c r="Z365" s="7">
        <v>0</v>
      </c>
      <c r="AA365" s="7">
        <v>23.12</v>
      </c>
      <c r="AB365" s="7">
        <v>2648</v>
      </c>
      <c r="AC365" s="7">
        <v>573000</v>
      </c>
      <c r="AD365" s="7">
        <v>573000</v>
      </c>
      <c r="AE365" s="7">
        <v>326151.40000000002</v>
      </c>
      <c r="AF365" s="7">
        <v>315</v>
      </c>
      <c r="AG365" s="7">
        <v>139</v>
      </c>
      <c r="AH365" s="12">
        <v>315</v>
      </c>
    </row>
    <row r="366" spans="1:34" hidden="1" x14ac:dyDescent="0.25">
      <c r="A366" s="11">
        <v>2</v>
      </c>
      <c r="B366" s="8" t="s">
        <v>10</v>
      </c>
      <c r="C366" s="7">
        <v>1505</v>
      </c>
      <c r="D366" s="8" t="s">
        <v>93</v>
      </c>
      <c r="E366" s="8" t="s">
        <v>19</v>
      </c>
      <c r="F366" s="8" t="s">
        <v>12</v>
      </c>
      <c r="G366" s="7">
        <v>78000</v>
      </c>
      <c r="H366" s="7">
        <v>50</v>
      </c>
      <c r="I366" s="7">
        <v>50</v>
      </c>
      <c r="J366" s="7">
        <v>73646.990000000005</v>
      </c>
      <c r="K366" s="7">
        <v>54888.529916</v>
      </c>
      <c r="L366" s="7">
        <v>0</v>
      </c>
      <c r="M366" s="7">
        <v>25.47</v>
      </c>
      <c r="N366" s="7">
        <v>20.79</v>
      </c>
      <c r="O366" s="7">
        <v>1080228.3700000001</v>
      </c>
      <c r="P366" s="7">
        <v>810319.896007</v>
      </c>
      <c r="Q366" s="7">
        <v>0</v>
      </c>
      <c r="R366" s="7">
        <v>24.99</v>
      </c>
      <c r="S366" s="7">
        <v>47</v>
      </c>
      <c r="T366" s="7">
        <v>22</v>
      </c>
      <c r="U366" s="7">
        <v>22</v>
      </c>
      <c r="V366" s="7">
        <v>464</v>
      </c>
      <c r="W366" s="7">
        <v>20.260000000000002</v>
      </c>
      <c r="X366" s="7">
        <v>78000</v>
      </c>
      <c r="Y366" s="7">
        <v>0</v>
      </c>
      <c r="Z366" s="7">
        <v>1</v>
      </c>
      <c r="AA366" s="7">
        <v>21.61</v>
      </c>
      <c r="AB366" s="7">
        <v>2648</v>
      </c>
      <c r="AC366" s="7">
        <v>1126000</v>
      </c>
      <c r="AD366" s="7">
        <v>1126000</v>
      </c>
      <c r="AE366" s="7">
        <v>949839.12</v>
      </c>
      <c r="AF366" s="7">
        <v>760</v>
      </c>
      <c r="AG366" s="7">
        <v>477</v>
      </c>
      <c r="AH366" s="12">
        <v>760</v>
      </c>
    </row>
    <row r="367" spans="1:34" ht="21" hidden="1" x14ac:dyDescent="0.25">
      <c r="A367" s="11">
        <v>4</v>
      </c>
      <c r="B367" s="8" t="s">
        <v>15</v>
      </c>
      <c r="C367" s="7">
        <v>1510</v>
      </c>
      <c r="D367" s="8" t="s">
        <v>121</v>
      </c>
      <c r="E367" s="8" t="s">
        <v>19</v>
      </c>
      <c r="F367" s="8" t="s">
        <v>12</v>
      </c>
      <c r="G367" s="7">
        <v>0</v>
      </c>
      <c r="H367" s="7">
        <v>0</v>
      </c>
      <c r="I367" s="7">
        <v>0</v>
      </c>
      <c r="J367" s="7">
        <v>25027.96</v>
      </c>
      <c r="K367" s="7">
        <v>18272.556794</v>
      </c>
      <c r="L367" s="7">
        <v>0</v>
      </c>
      <c r="M367" s="7">
        <v>26.99</v>
      </c>
      <c r="N367" s="7">
        <v>40.4</v>
      </c>
      <c r="O367" s="7">
        <v>519906.67</v>
      </c>
      <c r="P367" s="7">
        <v>377617.25475399999</v>
      </c>
      <c r="Q367" s="7">
        <v>0</v>
      </c>
      <c r="R367" s="7">
        <v>27.37</v>
      </c>
      <c r="S367" s="7">
        <v>24</v>
      </c>
      <c r="T367" s="7">
        <v>22</v>
      </c>
      <c r="U367" s="7">
        <v>22</v>
      </c>
      <c r="V367" s="7">
        <v>123</v>
      </c>
      <c r="W367" s="7">
        <v>6.36</v>
      </c>
      <c r="X367" s="7">
        <v>0</v>
      </c>
      <c r="Y367" s="7">
        <v>0</v>
      </c>
      <c r="Z367" s="7">
        <v>3</v>
      </c>
      <c r="AA367" s="7">
        <v>24.16</v>
      </c>
      <c r="AB367" s="7">
        <v>2648</v>
      </c>
      <c r="AC367" s="7">
        <v>721000</v>
      </c>
      <c r="AD367" s="7">
        <v>721000</v>
      </c>
      <c r="AE367" s="7">
        <v>519906.67</v>
      </c>
      <c r="AF367" s="7">
        <v>463</v>
      </c>
      <c r="AG367" s="7">
        <v>327</v>
      </c>
      <c r="AH367" s="12">
        <v>463</v>
      </c>
    </row>
    <row r="368" spans="1:34" ht="21" hidden="1" x14ac:dyDescent="0.25">
      <c r="A368" s="11">
        <v>4</v>
      </c>
      <c r="B368" s="8" t="s">
        <v>15</v>
      </c>
      <c r="C368" s="7">
        <v>1522</v>
      </c>
      <c r="D368" s="8" t="s">
        <v>95</v>
      </c>
      <c r="E368" s="8" t="s">
        <v>19</v>
      </c>
      <c r="F368" s="8" t="s">
        <v>12</v>
      </c>
      <c r="G368" s="7">
        <v>50000</v>
      </c>
      <c r="H368" s="7">
        <v>1</v>
      </c>
      <c r="I368" s="7">
        <v>1</v>
      </c>
      <c r="J368" s="7">
        <v>34916.54</v>
      </c>
      <c r="K368" s="7">
        <v>25287.290848000001</v>
      </c>
      <c r="L368" s="7">
        <v>0</v>
      </c>
      <c r="M368" s="7">
        <v>27.58</v>
      </c>
      <c r="N368" s="7">
        <v>27.61</v>
      </c>
      <c r="O368" s="7">
        <v>519906.67</v>
      </c>
      <c r="P368" s="7">
        <v>377617.25475399999</v>
      </c>
      <c r="Q368" s="7">
        <v>0</v>
      </c>
      <c r="R368" s="7">
        <v>27.37</v>
      </c>
      <c r="S368" s="7">
        <v>1</v>
      </c>
      <c r="T368" s="7">
        <v>22</v>
      </c>
      <c r="U368" s="7">
        <v>22</v>
      </c>
      <c r="V368" s="7">
        <v>65</v>
      </c>
      <c r="W368" s="7">
        <v>24</v>
      </c>
      <c r="X368" s="7">
        <v>50000</v>
      </c>
      <c r="Y368" s="7">
        <v>0</v>
      </c>
      <c r="Z368" s="7">
        <v>0</v>
      </c>
      <c r="AA368" s="7">
        <v>24.16</v>
      </c>
      <c r="AB368" s="7">
        <v>2648</v>
      </c>
      <c r="AC368" s="7">
        <v>721000</v>
      </c>
      <c r="AD368" s="7">
        <v>721000</v>
      </c>
      <c r="AE368" s="7">
        <v>519906.67</v>
      </c>
      <c r="AF368" s="7">
        <v>463</v>
      </c>
      <c r="AG368" s="7">
        <v>327</v>
      </c>
      <c r="AH368" s="12">
        <v>463</v>
      </c>
    </row>
    <row r="369" spans="1:34" ht="21" hidden="1" x14ac:dyDescent="0.25">
      <c r="A369" s="11">
        <v>26</v>
      </c>
      <c r="B369" s="8" t="s">
        <v>13</v>
      </c>
      <c r="C369" s="7">
        <v>1527</v>
      </c>
      <c r="D369" s="8" t="s">
        <v>42</v>
      </c>
      <c r="E369" s="8" t="s">
        <v>19</v>
      </c>
      <c r="F369" s="8" t="s">
        <v>12</v>
      </c>
      <c r="G369" s="7">
        <v>45000</v>
      </c>
      <c r="H369" s="7">
        <v>40</v>
      </c>
      <c r="I369" s="7">
        <v>40</v>
      </c>
      <c r="J369" s="7">
        <v>36804.36</v>
      </c>
      <c r="K369" s="7">
        <v>26597.642592</v>
      </c>
      <c r="L369" s="7">
        <v>0</v>
      </c>
      <c r="M369" s="7">
        <v>27.73</v>
      </c>
      <c r="N369" s="7">
        <v>23.58</v>
      </c>
      <c r="O369" s="7">
        <v>933054.95</v>
      </c>
      <c r="P369" s="7">
        <v>710042.85993000004</v>
      </c>
      <c r="Q369" s="7">
        <v>0</v>
      </c>
      <c r="R369" s="7">
        <v>23.9</v>
      </c>
      <c r="S369" s="7">
        <v>36</v>
      </c>
      <c r="T369" s="7">
        <v>22</v>
      </c>
      <c r="U369" s="7">
        <v>22</v>
      </c>
      <c r="V369" s="7">
        <v>192</v>
      </c>
      <c r="W369" s="7">
        <v>6.78</v>
      </c>
      <c r="X369" s="7">
        <v>45000</v>
      </c>
      <c r="Y369" s="7">
        <v>937.4</v>
      </c>
      <c r="Z369" s="7">
        <v>6</v>
      </c>
      <c r="AA369" s="7">
        <v>26.63</v>
      </c>
      <c r="AB369" s="7">
        <v>2648</v>
      </c>
      <c r="AC369" s="7">
        <v>865000</v>
      </c>
      <c r="AD369" s="7">
        <v>865000</v>
      </c>
      <c r="AE369" s="7">
        <v>830922.56</v>
      </c>
      <c r="AF369" s="7">
        <v>664</v>
      </c>
      <c r="AG369" s="7">
        <v>525</v>
      </c>
      <c r="AH369" s="12">
        <v>664</v>
      </c>
    </row>
    <row r="370" spans="1:34" ht="21" hidden="1" x14ac:dyDescent="0.25">
      <c r="A370" s="11">
        <v>26</v>
      </c>
      <c r="B370" s="8" t="s">
        <v>13</v>
      </c>
      <c r="C370" s="7">
        <v>1535</v>
      </c>
      <c r="D370" s="8" t="s">
        <v>97</v>
      </c>
      <c r="E370" s="8" t="s">
        <v>19</v>
      </c>
      <c r="F370" s="8" t="s">
        <v>12</v>
      </c>
      <c r="G370" s="7">
        <v>45000</v>
      </c>
      <c r="H370" s="7">
        <v>40</v>
      </c>
      <c r="I370" s="7">
        <v>40</v>
      </c>
      <c r="J370" s="7">
        <v>22851.3</v>
      </c>
      <c r="K370" s="7">
        <v>16777.234380999998</v>
      </c>
      <c r="L370" s="7">
        <v>0</v>
      </c>
      <c r="M370" s="7">
        <v>26.58</v>
      </c>
      <c r="N370" s="7">
        <v>21.83</v>
      </c>
      <c r="O370" s="7">
        <v>933054.95</v>
      </c>
      <c r="P370" s="7">
        <v>710042.85993000004</v>
      </c>
      <c r="Q370" s="7">
        <v>0</v>
      </c>
      <c r="R370" s="7">
        <v>23.9</v>
      </c>
      <c r="S370" s="7">
        <v>29</v>
      </c>
      <c r="T370" s="7">
        <v>22</v>
      </c>
      <c r="U370" s="7">
        <v>22</v>
      </c>
      <c r="V370" s="7">
        <v>150</v>
      </c>
      <c r="W370" s="7">
        <v>7.19</v>
      </c>
      <c r="X370" s="7">
        <v>45000</v>
      </c>
      <c r="Y370" s="7">
        <v>0</v>
      </c>
      <c r="Z370" s="7">
        <v>0</v>
      </c>
      <c r="AA370" s="7">
        <v>26.63</v>
      </c>
      <c r="AB370" s="7">
        <v>2648</v>
      </c>
      <c r="AC370" s="7">
        <v>865000</v>
      </c>
      <c r="AD370" s="7">
        <v>865000</v>
      </c>
      <c r="AE370" s="7">
        <v>830922.56</v>
      </c>
      <c r="AF370" s="7">
        <v>664</v>
      </c>
      <c r="AG370" s="7">
        <v>525</v>
      </c>
      <c r="AH370" s="12">
        <v>664</v>
      </c>
    </row>
    <row r="371" spans="1:34" hidden="1" x14ac:dyDescent="0.25">
      <c r="A371" s="11">
        <v>2</v>
      </c>
      <c r="B371" s="8" t="s">
        <v>10</v>
      </c>
      <c r="C371" s="7">
        <v>1553</v>
      </c>
      <c r="D371" s="8" t="s">
        <v>55</v>
      </c>
      <c r="E371" s="8" t="s">
        <v>19</v>
      </c>
      <c r="F371" s="8" t="s">
        <v>12</v>
      </c>
      <c r="G371" s="7">
        <v>50000</v>
      </c>
      <c r="H371" s="7">
        <v>40</v>
      </c>
      <c r="I371" s="7">
        <v>40</v>
      </c>
      <c r="J371" s="7">
        <v>24537.88</v>
      </c>
      <c r="K371" s="7">
        <v>18798.647466999999</v>
      </c>
      <c r="L371" s="7">
        <v>0</v>
      </c>
      <c r="M371" s="7">
        <v>23.39</v>
      </c>
      <c r="N371" s="7">
        <v>52.09</v>
      </c>
      <c r="O371" s="7">
        <v>1080228.3700000001</v>
      </c>
      <c r="P371" s="7">
        <v>810319.896007</v>
      </c>
      <c r="Q371" s="7">
        <v>0</v>
      </c>
      <c r="R371" s="7">
        <v>24.99</v>
      </c>
      <c r="S371" s="7">
        <v>13</v>
      </c>
      <c r="T371" s="7">
        <v>22</v>
      </c>
      <c r="U371" s="7">
        <v>22</v>
      </c>
      <c r="V371" s="7">
        <v>53</v>
      </c>
      <c r="W371" s="7">
        <v>4.29</v>
      </c>
      <c r="X371" s="7">
        <v>50000</v>
      </c>
      <c r="Y371" s="7">
        <v>0</v>
      </c>
      <c r="Z371" s="7">
        <v>1</v>
      </c>
      <c r="AA371" s="7">
        <v>21.61</v>
      </c>
      <c r="AB371" s="7">
        <v>2648</v>
      </c>
      <c r="AC371" s="7">
        <v>1126000</v>
      </c>
      <c r="AD371" s="7">
        <v>1126000</v>
      </c>
      <c r="AE371" s="7">
        <v>949839.12</v>
      </c>
      <c r="AF371" s="7">
        <v>760</v>
      </c>
      <c r="AG371" s="7">
        <v>477</v>
      </c>
      <c r="AH371" s="12">
        <v>760</v>
      </c>
    </row>
    <row r="372" spans="1:34" ht="21" hidden="1" x14ac:dyDescent="0.25">
      <c r="A372" s="11">
        <v>4</v>
      </c>
      <c r="B372" s="8" t="s">
        <v>15</v>
      </c>
      <c r="C372" s="7">
        <v>1557</v>
      </c>
      <c r="D372" s="8" t="s">
        <v>100</v>
      </c>
      <c r="E372" s="8" t="s">
        <v>19</v>
      </c>
      <c r="F372" s="8" t="s">
        <v>12</v>
      </c>
      <c r="G372" s="7">
        <v>109000</v>
      </c>
      <c r="H372" s="7">
        <v>78</v>
      </c>
      <c r="I372" s="7">
        <v>78</v>
      </c>
      <c r="J372" s="7">
        <v>77402.100000000006</v>
      </c>
      <c r="K372" s="7">
        <v>54911.388756</v>
      </c>
      <c r="L372" s="7">
        <v>0</v>
      </c>
      <c r="M372" s="7">
        <v>29.06</v>
      </c>
      <c r="N372" s="7">
        <v>21.47</v>
      </c>
      <c r="O372" s="7">
        <v>519906.67</v>
      </c>
      <c r="P372" s="7">
        <v>377617.25475399999</v>
      </c>
      <c r="Q372" s="7">
        <v>0</v>
      </c>
      <c r="R372" s="7">
        <v>27.37</v>
      </c>
      <c r="S372" s="7">
        <v>58</v>
      </c>
      <c r="T372" s="7">
        <v>22</v>
      </c>
      <c r="U372" s="7">
        <v>22</v>
      </c>
      <c r="V372" s="7">
        <v>496</v>
      </c>
      <c r="W372" s="7">
        <v>15.73</v>
      </c>
      <c r="X372" s="7">
        <v>109000</v>
      </c>
      <c r="Y372" s="7">
        <v>0</v>
      </c>
      <c r="Z372" s="7">
        <v>0</v>
      </c>
      <c r="AA372" s="7">
        <v>24.16</v>
      </c>
      <c r="AB372" s="7">
        <v>2648</v>
      </c>
      <c r="AC372" s="7">
        <v>721000</v>
      </c>
      <c r="AD372" s="7">
        <v>721000</v>
      </c>
      <c r="AE372" s="7">
        <v>519906.67</v>
      </c>
      <c r="AF372" s="7">
        <v>463</v>
      </c>
      <c r="AG372" s="7">
        <v>327</v>
      </c>
      <c r="AH372" s="12">
        <v>463</v>
      </c>
    </row>
    <row r="373" spans="1:34" ht="21" hidden="1" x14ac:dyDescent="0.25">
      <c r="A373" s="11">
        <v>4</v>
      </c>
      <c r="B373" s="8" t="s">
        <v>15</v>
      </c>
      <c r="C373" s="7">
        <v>1558</v>
      </c>
      <c r="D373" s="8" t="s">
        <v>101</v>
      </c>
      <c r="E373" s="8" t="s">
        <v>19</v>
      </c>
      <c r="F373" s="8" t="s">
        <v>12</v>
      </c>
      <c r="G373" s="7">
        <v>70000</v>
      </c>
      <c r="H373" s="7">
        <v>60</v>
      </c>
      <c r="I373" s="7">
        <v>60</v>
      </c>
      <c r="J373" s="7">
        <v>70171.25</v>
      </c>
      <c r="K373" s="7">
        <v>48827.203582000002</v>
      </c>
      <c r="L373" s="7">
        <v>0</v>
      </c>
      <c r="M373" s="7">
        <v>30.42</v>
      </c>
      <c r="N373" s="7">
        <v>21.52</v>
      </c>
      <c r="O373" s="7">
        <v>519906.67</v>
      </c>
      <c r="P373" s="7">
        <v>377617.25475399999</v>
      </c>
      <c r="Q373" s="7">
        <v>0</v>
      </c>
      <c r="R373" s="7">
        <v>27.37</v>
      </c>
      <c r="S373" s="7">
        <v>51</v>
      </c>
      <c r="T373" s="7">
        <v>22</v>
      </c>
      <c r="U373" s="7">
        <v>22</v>
      </c>
      <c r="V373" s="7">
        <v>377</v>
      </c>
      <c r="W373" s="7">
        <v>10.27</v>
      </c>
      <c r="X373" s="7">
        <v>70000</v>
      </c>
      <c r="Y373" s="7">
        <v>0</v>
      </c>
      <c r="Z373" s="7">
        <v>0</v>
      </c>
      <c r="AA373" s="7">
        <v>24.16</v>
      </c>
      <c r="AB373" s="7">
        <v>2648</v>
      </c>
      <c r="AC373" s="7">
        <v>721000</v>
      </c>
      <c r="AD373" s="7">
        <v>721000</v>
      </c>
      <c r="AE373" s="7">
        <v>519906.67</v>
      </c>
      <c r="AF373" s="7">
        <v>463</v>
      </c>
      <c r="AG373" s="7">
        <v>327</v>
      </c>
      <c r="AH373" s="12">
        <v>463</v>
      </c>
    </row>
    <row r="374" spans="1:34" ht="21" hidden="1" x14ac:dyDescent="0.25">
      <c r="A374" s="11">
        <v>4</v>
      </c>
      <c r="B374" s="8" t="s">
        <v>15</v>
      </c>
      <c r="C374" s="7">
        <v>1559</v>
      </c>
      <c r="D374" s="8" t="s">
        <v>102</v>
      </c>
      <c r="E374" s="8" t="s">
        <v>19</v>
      </c>
      <c r="F374" s="8" t="s">
        <v>12</v>
      </c>
      <c r="G374" s="7">
        <v>0</v>
      </c>
      <c r="H374" s="7">
        <v>0</v>
      </c>
      <c r="I374" s="7">
        <v>0</v>
      </c>
      <c r="J374" s="7">
        <v>21309.42</v>
      </c>
      <c r="K374" s="7">
        <v>15605.135554</v>
      </c>
      <c r="L374" s="7">
        <v>0</v>
      </c>
      <c r="M374" s="7">
        <v>26.77</v>
      </c>
      <c r="N374" s="7">
        <v>20.100000000000001</v>
      </c>
      <c r="O374" s="7">
        <v>519906.67</v>
      </c>
      <c r="P374" s="7">
        <v>377617.25475399999</v>
      </c>
      <c r="Q374" s="7">
        <v>0</v>
      </c>
      <c r="R374" s="7">
        <v>27.37</v>
      </c>
      <c r="S374" s="7">
        <v>24</v>
      </c>
      <c r="T374" s="7">
        <v>22</v>
      </c>
      <c r="U374" s="7">
        <v>22</v>
      </c>
      <c r="V374" s="7">
        <v>301</v>
      </c>
      <c r="W374" s="7">
        <v>11.44</v>
      </c>
      <c r="X374" s="7">
        <v>0</v>
      </c>
      <c r="Y374" s="7">
        <v>0</v>
      </c>
      <c r="Z374" s="7">
        <v>0</v>
      </c>
      <c r="AA374" s="7">
        <v>24.16</v>
      </c>
      <c r="AB374" s="7">
        <v>2648</v>
      </c>
      <c r="AC374" s="7">
        <v>721000</v>
      </c>
      <c r="AD374" s="7">
        <v>721000</v>
      </c>
      <c r="AE374" s="7">
        <v>519906.67</v>
      </c>
      <c r="AF374" s="7">
        <v>463</v>
      </c>
      <c r="AG374" s="7">
        <v>327</v>
      </c>
      <c r="AH374" s="12">
        <v>463</v>
      </c>
    </row>
    <row r="375" spans="1:34" ht="21" hidden="1" x14ac:dyDescent="0.25">
      <c r="A375" s="11">
        <v>26</v>
      </c>
      <c r="B375" s="8" t="s">
        <v>13</v>
      </c>
      <c r="C375" s="7">
        <v>1565</v>
      </c>
      <c r="D375" s="8" t="s">
        <v>129</v>
      </c>
      <c r="E375" s="8" t="s">
        <v>19</v>
      </c>
      <c r="F375" s="8" t="s">
        <v>12</v>
      </c>
      <c r="G375" s="7">
        <v>40000</v>
      </c>
      <c r="H375" s="7">
        <v>1</v>
      </c>
      <c r="I375" s="7">
        <v>1</v>
      </c>
      <c r="J375" s="7">
        <v>64697.01</v>
      </c>
      <c r="K375" s="7">
        <v>48379.106520000001</v>
      </c>
      <c r="L375" s="7">
        <v>0</v>
      </c>
      <c r="M375" s="7">
        <v>25.22</v>
      </c>
      <c r="N375" s="7">
        <v>57.17</v>
      </c>
      <c r="O375" s="7">
        <v>933054.95</v>
      </c>
      <c r="P375" s="7">
        <v>710042.85993000004</v>
      </c>
      <c r="Q375" s="7">
        <v>0</v>
      </c>
      <c r="R375" s="7">
        <v>23.9</v>
      </c>
      <c r="S375" s="7">
        <v>2</v>
      </c>
      <c r="T375" s="7">
        <v>22</v>
      </c>
      <c r="U375" s="7">
        <v>22</v>
      </c>
      <c r="V375" s="7">
        <v>327</v>
      </c>
      <c r="W375" s="7">
        <v>103.5</v>
      </c>
      <c r="X375" s="7">
        <v>40000</v>
      </c>
      <c r="Y375" s="7">
        <v>776.71</v>
      </c>
      <c r="Z375" s="7">
        <v>0</v>
      </c>
      <c r="AA375" s="7">
        <v>26.63</v>
      </c>
      <c r="AB375" s="7">
        <v>2648</v>
      </c>
      <c r="AC375" s="7">
        <v>865000</v>
      </c>
      <c r="AD375" s="7">
        <v>865000</v>
      </c>
      <c r="AE375" s="7">
        <v>830922.56</v>
      </c>
      <c r="AF375" s="7">
        <v>664</v>
      </c>
      <c r="AG375" s="7">
        <v>525</v>
      </c>
      <c r="AH375" s="12">
        <v>664</v>
      </c>
    </row>
    <row r="376" spans="1:34" ht="21" hidden="1" x14ac:dyDescent="0.25">
      <c r="A376" s="11">
        <v>12</v>
      </c>
      <c r="B376" s="8" t="s">
        <v>14</v>
      </c>
      <c r="C376" s="7">
        <v>1582</v>
      </c>
      <c r="D376" s="8" t="s">
        <v>111</v>
      </c>
      <c r="E376" s="8" t="s">
        <v>19</v>
      </c>
      <c r="F376" s="8" t="s">
        <v>12</v>
      </c>
      <c r="G376" s="7">
        <v>46000</v>
      </c>
      <c r="H376" s="7">
        <v>60</v>
      </c>
      <c r="I376" s="7">
        <v>60</v>
      </c>
      <c r="J376" s="7">
        <v>37097.870000000003</v>
      </c>
      <c r="K376" s="7">
        <v>28325.879475999998</v>
      </c>
      <c r="L376" s="7">
        <v>0</v>
      </c>
      <c r="M376" s="7">
        <v>23.65</v>
      </c>
      <c r="N376" s="7">
        <v>15.77</v>
      </c>
      <c r="O376" s="7">
        <v>328927.56</v>
      </c>
      <c r="P376" s="7">
        <v>249677.97298300001</v>
      </c>
      <c r="Q376" s="7">
        <v>0</v>
      </c>
      <c r="R376" s="7">
        <v>24.09</v>
      </c>
      <c r="S376" s="7">
        <v>60</v>
      </c>
      <c r="T376" s="7">
        <v>22</v>
      </c>
      <c r="U376" s="7">
        <v>22</v>
      </c>
      <c r="V376" s="7">
        <v>211</v>
      </c>
      <c r="W376" s="7">
        <v>7.14</v>
      </c>
      <c r="X376" s="7">
        <v>46000</v>
      </c>
      <c r="Y376" s="7">
        <v>365.49</v>
      </c>
      <c r="Z376" s="7">
        <v>5</v>
      </c>
      <c r="AA376" s="7">
        <v>27.59</v>
      </c>
      <c r="AB376" s="7">
        <v>2648</v>
      </c>
      <c r="AC376" s="7">
        <v>645000</v>
      </c>
      <c r="AD376" s="7">
        <v>645000</v>
      </c>
      <c r="AE376" s="7">
        <v>392162.47</v>
      </c>
      <c r="AF376" s="7">
        <v>790</v>
      </c>
      <c r="AG376" s="7">
        <v>478</v>
      </c>
      <c r="AH376" s="12">
        <v>790</v>
      </c>
    </row>
    <row r="377" spans="1:34" ht="21" hidden="1" x14ac:dyDescent="0.25">
      <c r="A377" s="11">
        <v>4</v>
      </c>
      <c r="B377" s="8" t="s">
        <v>15</v>
      </c>
      <c r="C377" s="7">
        <v>1583</v>
      </c>
      <c r="D377" s="8" t="s">
        <v>112</v>
      </c>
      <c r="E377" s="8" t="s">
        <v>19</v>
      </c>
      <c r="F377" s="8" t="s">
        <v>12</v>
      </c>
      <c r="G377" s="7">
        <v>0</v>
      </c>
      <c r="H377" s="7">
        <v>0</v>
      </c>
      <c r="I377" s="7">
        <v>0</v>
      </c>
      <c r="J377" s="7">
        <v>3652.94</v>
      </c>
      <c r="K377" s="7">
        <v>2376.5936959999999</v>
      </c>
      <c r="L377" s="7">
        <v>0</v>
      </c>
      <c r="M377" s="7">
        <v>34.94</v>
      </c>
      <c r="N377" s="7">
        <v>20.34</v>
      </c>
      <c r="O377" s="7">
        <v>519906.67</v>
      </c>
      <c r="P377" s="7">
        <v>377617.25475399999</v>
      </c>
      <c r="Q377" s="7">
        <v>0</v>
      </c>
      <c r="R377" s="7">
        <v>27.37</v>
      </c>
      <c r="S377" s="7">
        <v>5</v>
      </c>
      <c r="T377" s="7">
        <v>22</v>
      </c>
      <c r="U377" s="7">
        <v>22</v>
      </c>
      <c r="V377" s="7">
        <v>42</v>
      </c>
      <c r="W377" s="7">
        <v>9</v>
      </c>
      <c r="X377" s="7">
        <v>0</v>
      </c>
      <c r="Y377" s="7">
        <v>16.760000000000002</v>
      </c>
      <c r="Z377" s="7">
        <v>0</v>
      </c>
      <c r="AA377" s="7">
        <v>24.16</v>
      </c>
      <c r="AB377" s="7">
        <v>2648</v>
      </c>
      <c r="AC377" s="7">
        <v>721000</v>
      </c>
      <c r="AD377" s="7">
        <v>721000</v>
      </c>
      <c r="AE377" s="7">
        <v>519906.67</v>
      </c>
      <c r="AF377" s="7">
        <v>463</v>
      </c>
      <c r="AG377" s="7">
        <v>327</v>
      </c>
      <c r="AH377" s="12">
        <v>463</v>
      </c>
    </row>
    <row r="378" spans="1:34" ht="21" hidden="1" x14ac:dyDescent="0.25">
      <c r="A378" s="11">
        <v>6</v>
      </c>
      <c r="B378" s="8" t="s">
        <v>142</v>
      </c>
      <c r="C378" s="7">
        <v>1585</v>
      </c>
      <c r="D378" s="8" t="s">
        <v>90</v>
      </c>
      <c r="E378" s="8" t="s">
        <v>19</v>
      </c>
      <c r="F378" s="8" t="s">
        <v>12</v>
      </c>
      <c r="G378" s="7">
        <v>48000</v>
      </c>
      <c r="H378" s="7">
        <v>45</v>
      </c>
      <c r="I378" s="7">
        <v>45</v>
      </c>
      <c r="J378" s="7">
        <v>22474.76</v>
      </c>
      <c r="K378" s="7">
        <v>16761.631377000002</v>
      </c>
      <c r="L378" s="7">
        <v>0</v>
      </c>
      <c r="M378" s="7">
        <v>25.42</v>
      </c>
      <c r="N378" s="7">
        <v>22.57</v>
      </c>
      <c r="O378" s="7">
        <v>799790.07999999996</v>
      </c>
      <c r="P378" s="7">
        <v>605664.57214599999</v>
      </c>
      <c r="Q378" s="7">
        <v>0</v>
      </c>
      <c r="R378" s="7">
        <v>24.27</v>
      </c>
      <c r="S378" s="7">
        <v>32</v>
      </c>
      <c r="T378" s="7">
        <v>22</v>
      </c>
      <c r="U378" s="7">
        <v>22</v>
      </c>
      <c r="V378" s="7">
        <v>217</v>
      </c>
      <c r="W378" s="7">
        <v>10.09</v>
      </c>
      <c r="X378" s="7">
        <v>48000</v>
      </c>
      <c r="Y378" s="7">
        <v>388.75</v>
      </c>
      <c r="Z378" s="7">
        <v>1</v>
      </c>
      <c r="AA378" s="7">
        <v>20.43</v>
      </c>
      <c r="AB378" s="7">
        <v>2648</v>
      </c>
      <c r="AC378" s="7">
        <v>1006000</v>
      </c>
      <c r="AD378" s="7">
        <v>1006000</v>
      </c>
      <c r="AE378" s="7">
        <v>697731.87</v>
      </c>
      <c r="AF378" s="7">
        <v>899</v>
      </c>
      <c r="AG378" s="7">
        <v>589</v>
      </c>
      <c r="AH378" s="12">
        <v>899</v>
      </c>
    </row>
    <row r="379" spans="1:34" ht="21" hidden="1" x14ac:dyDescent="0.25">
      <c r="A379" s="11">
        <v>20</v>
      </c>
      <c r="B379" s="8" t="s">
        <v>30</v>
      </c>
      <c r="C379" s="7">
        <v>1590</v>
      </c>
      <c r="D379" s="8" t="s">
        <v>82</v>
      </c>
      <c r="E379" s="8" t="s">
        <v>19</v>
      </c>
      <c r="F379" s="8" t="s">
        <v>12</v>
      </c>
      <c r="G379" s="7">
        <v>185000</v>
      </c>
      <c r="H379" s="7">
        <v>180</v>
      </c>
      <c r="I379" s="7">
        <v>180</v>
      </c>
      <c r="J379" s="7">
        <v>5993.31</v>
      </c>
      <c r="K379" s="7">
        <v>5293.4835210000001</v>
      </c>
      <c r="L379" s="7">
        <v>0</v>
      </c>
      <c r="M379" s="7">
        <v>11.68</v>
      </c>
      <c r="N379" s="7">
        <v>45.43</v>
      </c>
      <c r="O379" s="7">
        <v>332890.5</v>
      </c>
      <c r="P379" s="7">
        <v>251273.091338</v>
      </c>
      <c r="Q379" s="7">
        <v>0</v>
      </c>
      <c r="R379" s="7">
        <v>24.52</v>
      </c>
      <c r="S379" s="7">
        <v>4</v>
      </c>
      <c r="T379" s="7">
        <v>22</v>
      </c>
      <c r="U379" s="7">
        <v>22</v>
      </c>
      <c r="V379" s="7">
        <v>10</v>
      </c>
      <c r="W379" s="7">
        <v>1.71</v>
      </c>
      <c r="X379" s="7">
        <v>185000</v>
      </c>
      <c r="Y379" s="7">
        <v>0</v>
      </c>
      <c r="Z379" s="7">
        <v>0</v>
      </c>
      <c r="AA379" s="7">
        <v>31.26</v>
      </c>
      <c r="AB379" s="7">
        <v>2648</v>
      </c>
      <c r="AC379" s="7">
        <v>275000</v>
      </c>
      <c r="AD379" s="7">
        <v>275000</v>
      </c>
      <c r="AE379" s="7">
        <v>68510.98</v>
      </c>
      <c r="AF379" s="7">
        <v>260</v>
      </c>
      <c r="AG379" s="7">
        <v>68</v>
      </c>
      <c r="AH379" s="12">
        <v>260</v>
      </c>
    </row>
    <row r="380" spans="1:34" ht="21" hidden="1" x14ac:dyDescent="0.25">
      <c r="A380" s="11">
        <v>10</v>
      </c>
      <c r="B380" s="8" t="s">
        <v>180</v>
      </c>
      <c r="C380" s="7">
        <v>1591</v>
      </c>
      <c r="D380" s="8" t="s">
        <v>115</v>
      </c>
      <c r="E380" s="8" t="s">
        <v>19</v>
      </c>
      <c r="F380" s="8" t="s">
        <v>12</v>
      </c>
      <c r="G380" s="7">
        <v>65000</v>
      </c>
      <c r="H380" s="7">
        <v>50</v>
      </c>
      <c r="I380" s="7">
        <v>50</v>
      </c>
      <c r="J380" s="7">
        <v>46119.7</v>
      </c>
      <c r="K380" s="7">
        <v>35364.870712000004</v>
      </c>
      <c r="L380" s="7">
        <v>0</v>
      </c>
      <c r="M380" s="7">
        <v>23.32</v>
      </c>
      <c r="N380" s="7">
        <v>19.05</v>
      </c>
      <c r="O380" s="7">
        <v>0</v>
      </c>
      <c r="P380" s="7">
        <v>0</v>
      </c>
      <c r="Q380" s="7">
        <v>0</v>
      </c>
      <c r="R380" s="7">
        <v>0</v>
      </c>
      <c r="S380" s="7">
        <v>55</v>
      </c>
      <c r="T380" s="7">
        <v>22</v>
      </c>
      <c r="U380" s="7">
        <v>22</v>
      </c>
      <c r="V380" s="7">
        <v>363</v>
      </c>
      <c r="W380" s="7">
        <v>11.45</v>
      </c>
      <c r="X380" s="7">
        <v>65000</v>
      </c>
      <c r="Y380" s="7">
        <v>0</v>
      </c>
      <c r="Z380" s="7">
        <v>3</v>
      </c>
      <c r="AA380" s="7">
        <v>0</v>
      </c>
      <c r="AB380" s="7">
        <v>2648</v>
      </c>
      <c r="AC380" s="7">
        <v>610000</v>
      </c>
      <c r="AD380" s="7">
        <v>610000</v>
      </c>
      <c r="AE380" s="7">
        <v>494578.26</v>
      </c>
      <c r="AF380" s="7">
        <v>471</v>
      </c>
      <c r="AG380" s="7">
        <v>461</v>
      </c>
      <c r="AH380" s="12">
        <v>471</v>
      </c>
    </row>
    <row r="381" spans="1:34" ht="21" hidden="1" x14ac:dyDescent="0.25">
      <c r="A381" s="11">
        <v>5</v>
      </c>
      <c r="B381" s="8" t="s">
        <v>143</v>
      </c>
      <c r="C381" s="7">
        <v>1593</v>
      </c>
      <c r="D381" s="8" t="s">
        <v>122</v>
      </c>
      <c r="E381" s="8" t="s">
        <v>19</v>
      </c>
      <c r="F381" s="8" t="s">
        <v>12</v>
      </c>
      <c r="G381" s="7">
        <v>115000</v>
      </c>
      <c r="H381" s="7">
        <v>50</v>
      </c>
      <c r="I381" s="7">
        <v>50</v>
      </c>
      <c r="J381" s="7">
        <v>115724.83</v>
      </c>
      <c r="K381" s="7">
        <v>86897.631521000003</v>
      </c>
      <c r="L381" s="7">
        <v>0</v>
      </c>
      <c r="M381" s="7">
        <v>24.91</v>
      </c>
      <c r="N381" s="7">
        <v>34.56</v>
      </c>
      <c r="O381" s="7">
        <v>350890.02</v>
      </c>
      <c r="P381" s="7">
        <v>267719.45955999999</v>
      </c>
      <c r="Q381" s="7">
        <v>0</v>
      </c>
      <c r="R381" s="7">
        <v>23.7</v>
      </c>
      <c r="S381" s="7">
        <v>51</v>
      </c>
      <c r="T381" s="7">
        <v>22</v>
      </c>
      <c r="U381" s="7">
        <v>22</v>
      </c>
      <c r="V381" s="7">
        <v>482</v>
      </c>
      <c r="W381" s="7">
        <v>9.7899999999999991</v>
      </c>
      <c r="X381" s="7">
        <v>115000</v>
      </c>
      <c r="Y381" s="7">
        <v>5.71</v>
      </c>
      <c r="Z381" s="7">
        <v>1</v>
      </c>
      <c r="AA381" s="7">
        <v>23</v>
      </c>
      <c r="AB381" s="7">
        <v>2648</v>
      </c>
      <c r="AC381" s="7">
        <v>380000</v>
      </c>
      <c r="AD381" s="7">
        <v>380000</v>
      </c>
      <c r="AE381" s="7">
        <v>287655.11</v>
      </c>
      <c r="AF381" s="7">
        <v>160</v>
      </c>
      <c r="AG381" s="7">
        <v>99</v>
      </c>
      <c r="AH381" s="12">
        <v>160</v>
      </c>
    </row>
    <row r="382" spans="1:34" ht="21" hidden="1" x14ac:dyDescent="0.25">
      <c r="A382" s="11">
        <v>12</v>
      </c>
      <c r="B382" s="8" t="s">
        <v>14</v>
      </c>
      <c r="C382" s="7">
        <v>1594</v>
      </c>
      <c r="D382" s="8" t="s">
        <v>123</v>
      </c>
      <c r="E382" s="8" t="s">
        <v>19</v>
      </c>
      <c r="F382" s="8" t="s">
        <v>12</v>
      </c>
      <c r="G382" s="7">
        <v>46000</v>
      </c>
      <c r="H382" s="7">
        <v>60</v>
      </c>
      <c r="I382" s="7">
        <v>60</v>
      </c>
      <c r="J382" s="7">
        <v>38232.550000000003</v>
      </c>
      <c r="K382" s="7">
        <v>28749.223405000001</v>
      </c>
      <c r="L382" s="7">
        <v>0</v>
      </c>
      <c r="M382" s="7">
        <v>24.8</v>
      </c>
      <c r="N382" s="7">
        <v>18.28</v>
      </c>
      <c r="O382" s="7">
        <v>328927.56</v>
      </c>
      <c r="P382" s="7">
        <v>249677.97298300001</v>
      </c>
      <c r="Q382" s="7">
        <v>0</v>
      </c>
      <c r="R382" s="7">
        <v>24.09</v>
      </c>
      <c r="S382" s="7">
        <v>36</v>
      </c>
      <c r="T382" s="7">
        <v>22</v>
      </c>
      <c r="U382" s="7">
        <v>22</v>
      </c>
      <c r="V382" s="7">
        <v>223</v>
      </c>
      <c r="W382" s="7">
        <v>9.33</v>
      </c>
      <c r="X382" s="7">
        <v>46000</v>
      </c>
      <c r="Y382" s="7">
        <v>266.3</v>
      </c>
      <c r="Z382" s="7">
        <v>1</v>
      </c>
      <c r="AA382" s="7">
        <v>27.59</v>
      </c>
      <c r="AB382" s="7">
        <v>2648</v>
      </c>
      <c r="AC382" s="7">
        <v>645000</v>
      </c>
      <c r="AD382" s="7">
        <v>645000</v>
      </c>
      <c r="AE382" s="7">
        <v>392162.47</v>
      </c>
      <c r="AF382" s="7">
        <v>790</v>
      </c>
      <c r="AG382" s="7">
        <v>478</v>
      </c>
      <c r="AH382" s="12">
        <v>790</v>
      </c>
    </row>
    <row r="383" spans="1:34" ht="21" hidden="1" x14ac:dyDescent="0.25">
      <c r="A383" s="11">
        <v>17</v>
      </c>
      <c r="B383" s="8" t="s">
        <v>16</v>
      </c>
      <c r="C383" s="7">
        <v>1596</v>
      </c>
      <c r="D383" s="8" t="s">
        <v>124</v>
      </c>
      <c r="E383" s="8" t="s">
        <v>19</v>
      </c>
      <c r="F383" s="8" t="s">
        <v>12</v>
      </c>
      <c r="G383" s="7">
        <v>45000</v>
      </c>
      <c r="H383" s="7">
        <v>40</v>
      </c>
      <c r="I383" s="7">
        <v>40</v>
      </c>
      <c r="J383" s="7">
        <v>9322.75</v>
      </c>
      <c r="K383" s="7">
        <v>6198.9610970000003</v>
      </c>
      <c r="L383" s="7">
        <v>0</v>
      </c>
      <c r="M383" s="7">
        <v>33.51</v>
      </c>
      <c r="N383" s="7">
        <v>46.47</v>
      </c>
      <c r="O383" s="7">
        <v>326151.40000000002</v>
      </c>
      <c r="P383" s="7">
        <v>231237.277481</v>
      </c>
      <c r="Q383" s="7">
        <v>0</v>
      </c>
      <c r="R383" s="7">
        <v>29.1</v>
      </c>
      <c r="S383" s="7">
        <v>4</v>
      </c>
      <c r="T383" s="7">
        <v>22</v>
      </c>
      <c r="U383" s="7">
        <v>22</v>
      </c>
      <c r="V383" s="7">
        <v>46</v>
      </c>
      <c r="W383" s="7">
        <v>9.4</v>
      </c>
      <c r="X383" s="7">
        <v>45000</v>
      </c>
      <c r="Y383" s="7">
        <v>0</v>
      </c>
      <c r="Z383" s="7">
        <v>0</v>
      </c>
      <c r="AA383" s="7">
        <v>23.12</v>
      </c>
      <c r="AB383" s="7">
        <v>2648</v>
      </c>
      <c r="AC383" s="7">
        <v>573000</v>
      </c>
      <c r="AD383" s="7">
        <v>573000</v>
      </c>
      <c r="AE383" s="7">
        <v>326151.40000000002</v>
      </c>
      <c r="AF383" s="7">
        <v>315</v>
      </c>
      <c r="AG383" s="7">
        <v>139</v>
      </c>
      <c r="AH383" s="12">
        <v>315</v>
      </c>
    </row>
    <row r="384" spans="1:34" ht="21" hidden="1" x14ac:dyDescent="0.25">
      <c r="A384" s="11">
        <v>20</v>
      </c>
      <c r="B384" s="8" t="s">
        <v>30</v>
      </c>
      <c r="C384" s="7">
        <v>1597</v>
      </c>
      <c r="D384" s="8" t="s">
        <v>125</v>
      </c>
      <c r="E384" s="8" t="s">
        <v>19</v>
      </c>
      <c r="F384" s="8" t="s">
        <v>12</v>
      </c>
      <c r="G384" s="7">
        <v>0</v>
      </c>
      <c r="H384" s="7">
        <v>0</v>
      </c>
      <c r="I384" s="7">
        <v>0</v>
      </c>
      <c r="J384" s="7">
        <v>12382.59</v>
      </c>
      <c r="K384" s="7">
        <v>9616.7468169999993</v>
      </c>
      <c r="L384" s="7">
        <v>0</v>
      </c>
      <c r="M384" s="7">
        <v>22.34</v>
      </c>
      <c r="N384" s="7">
        <v>33.26</v>
      </c>
      <c r="O384" s="7">
        <v>332890.5</v>
      </c>
      <c r="P384" s="7">
        <v>251273.091338</v>
      </c>
      <c r="Q384" s="7">
        <v>0</v>
      </c>
      <c r="R384" s="7">
        <v>24.52</v>
      </c>
      <c r="S384" s="7">
        <v>13</v>
      </c>
      <c r="T384" s="7">
        <v>22</v>
      </c>
      <c r="U384" s="7">
        <v>22</v>
      </c>
      <c r="V384" s="7">
        <v>34</v>
      </c>
      <c r="W384" s="7">
        <v>3.23</v>
      </c>
      <c r="X384" s="7">
        <v>0</v>
      </c>
      <c r="Y384" s="7">
        <v>2095.2199999999998</v>
      </c>
      <c r="Z384" s="7">
        <v>3</v>
      </c>
      <c r="AA384" s="7">
        <v>31.26</v>
      </c>
      <c r="AB384" s="7">
        <v>2648</v>
      </c>
      <c r="AC384" s="7">
        <v>275000</v>
      </c>
      <c r="AD384" s="7">
        <v>275000</v>
      </c>
      <c r="AE384" s="7">
        <v>68510.98</v>
      </c>
      <c r="AF384" s="7">
        <v>260</v>
      </c>
      <c r="AG384" s="7">
        <v>68</v>
      </c>
      <c r="AH384" s="12">
        <v>260</v>
      </c>
    </row>
    <row r="385" spans="1:34" hidden="1" x14ac:dyDescent="0.25">
      <c r="A385" s="11">
        <v>2</v>
      </c>
      <c r="B385" s="8" t="s">
        <v>10</v>
      </c>
      <c r="C385" s="7">
        <v>1598</v>
      </c>
      <c r="D385" s="8" t="s">
        <v>23</v>
      </c>
      <c r="E385" s="8" t="s">
        <v>19</v>
      </c>
      <c r="F385" s="8" t="s">
        <v>12</v>
      </c>
      <c r="G385" s="7">
        <v>0</v>
      </c>
      <c r="H385" s="7">
        <v>0</v>
      </c>
      <c r="I385" s="7">
        <v>0</v>
      </c>
      <c r="J385" s="7">
        <v>7327.92</v>
      </c>
      <c r="K385" s="7">
        <v>5688.6559029999999</v>
      </c>
      <c r="L385" s="7">
        <v>0</v>
      </c>
      <c r="M385" s="7">
        <v>22.37</v>
      </c>
      <c r="N385" s="7">
        <v>8.77</v>
      </c>
      <c r="O385" s="7">
        <v>1080228.3700000001</v>
      </c>
      <c r="P385" s="7">
        <v>810319.896007</v>
      </c>
      <c r="Q385" s="7">
        <v>0</v>
      </c>
      <c r="R385" s="7">
        <v>24.99</v>
      </c>
      <c r="S385" s="7">
        <v>10</v>
      </c>
      <c r="T385" s="7">
        <v>22</v>
      </c>
      <c r="U385" s="7">
        <v>22</v>
      </c>
      <c r="V385" s="7">
        <v>115</v>
      </c>
      <c r="W385" s="7">
        <v>13.91</v>
      </c>
      <c r="X385" s="7">
        <v>0</v>
      </c>
      <c r="Y385" s="7">
        <v>1353.93</v>
      </c>
      <c r="Z385" s="7">
        <v>0</v>
      </c>
      <c r="AA385" s="7">
        <v>21.61</v>
      </c>
      <c r="AB385" s="7">
        <v>2648</v>
      </c>
      <c r="AC385" s="7">
        <v>1126000</v>
      </c>
      <c r="AD385" s="7">
        <v>1126000</v>
      </c>
      <c r="AE385" s="7">
        <v>949839.12</v>
      </c>
      <c r="AF385" s="7">
        <v>760</v>
      </c>
      <c r="AG385" s="7">
        <v>477</v>
      </c>
      <c r="AH385" s="12">
        <v>760</v>
      </c>
    </row>
    <row r="386" spans="1:34" ht="21" hidden="1" x14ac:dyDescent="0.25">
      <c r="A386" s="11">
        <v>20</v>
      </c>
      <c r="B386" s="8" t="s">
        <v>30</v>
      </c>
      <c r="C386" s="7">
        <v>1599</v>
      </c>
      <c r="D386" s="8" t="s">
        <v>126</v>
      </c>
      <c r="E386" s="8" t="s">
        <v>19</v>
      </c>
      <c r="F386" s="8" t="s">
        <v>12</v>
      </c>
      <c r="G386" s="7">
        <v>45000</v>
      </c>
      <c r="H386" s="7">
        <v>40</v>
      </c>
      <c r="I386" s="7">
        <v>40</v>
      </c>
      <c r="J386" s="7">
        <v>26403.59</v>
      </c>
      <c r="K386" s="7">
        <v>19654.011192000002</v>
      </c>
      <c r="L386" s="7">
        <v>0</v>
      </c>
      <c r="M386" s="7">
        <v>25.56</v>
      </c>
      <c r="N386" s="7">
        <v>35.700000000000003</v>
      </c>
      <c r="O386" s="7">
        <v>332890.5</v>
      </c>
      <c r="P386" s="7">
        <v>251273.091338</v>
      </c>
      <c r="Q386" s="7">
        <v>0</v>
      </c>
      <c r="R386" s="7">
        <v>24.52</v>
      </c>
      <c r="S386" s="7">
        <v>20</v>
      </c>
      <c r="T386" s="7">
        <v>22</v>
      </c>
      <c r="U386" s="7">
        <v>22</v>
      </c>
      <c r="V386" s="7">
        <v>149</v>
      </c>
      <c r="W386" s="7">
        <v>7.96</v>
      </c>
      <c r="X386" s="7">
        <v>45000</v>
      </c>
      <c r="Y386" s="7">
        <v>351.47</v>
      </c>
      <c r="Z386" s="7">
        <v>2</v>
      </c>
      <c r="AA386" s="7">
        <v>31.26</v>
      </c>
      <c r="AB386" s="7">
        <v>2648</v>
      </c>
      <c r="AC386" s="7">
        <v>275000</v>
      </c>
      <c r="AD386" s="7">
        <v>275000</v>
      </c>
      <c r="AE386" s="7">
        <v>68510.98</v>
      </c>
      <c r="AF386" s="7">
        <v>260</v>
      </c>
      <c r="AG386" s="7">
        <v>68</v>
      </c>
      <c r="AH386" s="12">
        <v>260</v>
      </c>
    </row>
    <row r="387" spans="1:34" ht="21" hidden="1" x14ac:dyDescent="0.25">
      <c r="A387" s="11">
        <v>17</v>
      </c>
      <c r="B387" s="8" t="s">
        <v>16</v>
      </c>
      <c r="C387" s="7">
        <v>1601</v>
      </c>
      <c r="D387" s="8" t="s">
        <v>130</v>
      </c>
      <c r="E387" s="8" t="s">
        <v>19</v>
      </c>
      <c r="F387" s="8" t="s">
        <v>12</v>
      </c>
      <c r="G387" s="7">
        <v>0</v>
      </c>
      <c r="H387" s="7">
        <v>0</v>
      </c>
      <c r="I387" s="7">
        <v>0</v>
      </c>
      <c r="J387" s="7">
        <v>9330.0300000000007</v>
      </c>
      <c r="K387" s="7">
        <v>6504.3872920000003</v>
      </c>
      <c r="L387" s="7">
        <v>0</v>
      </c>
      <c r="M387" s="7">
        <v>30.29</v>
      </c>
      <c r="N387" s="7">
        <v>26.9</v>
      </c>
      <c r="O387" s="7">
        <v>326151.40000000002</v>
      </c>
      <c r="P387" s="7">
        <v>231237.277481</v>
      </c>
      <c r="Q387" s="7">
        <v>0</v>
      </c>
      <c r="R387" s="7">
        <v>29.1</v>
      </c>
      <c r="S387" s="7">
        <v>4</v>
      </c>
      <c r="T387" s="7">
        <v>22</v>
      </c>
      <c r="U387" s="7">
        <v>22</v>
      </c>
      <c r="V387" s="7">
        <v>120</v>
      </c>
      <c r="W387" s="7">
        <v>25.4</v>
      </c>
      <c r="X387" s="7">
        <v>0</v>
      </c>
      <c r="Y387" s="7">
        <v>0</v>
      </c>
      <c r="Z387" s="7">
        <v>0</v>
      </c>
      <c r="AA387" s="7">
        <v>23.12</v>
      </c>
      <c r="AB387" s="7">
        <v>2648</v>
      </c>
      <c r="AC387" s="7">
        <v>573000</v>
      </c>
      <c r="AD387" s="7">
        <v>573000</v>
      </c>
      <c r="AE387" s="7">
        <v>326151.40000000002</v>
      </c>
      <c r="AF387" s="7">
        <v>315</v>
      </c>
      <c r="AG387" s="7">
        <v>139</v>
      </c>
      <c r="AH387" s="12">
        <v>315</v>
      </c>
    </row>
    <row r="388" spans="1:34" ht="21" hidden="1" x14ac:dyDescent="0.25">
      <c r="A388" s="11">
        <v>6</v>
      </c>
      <c r="B388" s="8" t="s">
        <v>142</v>
      </c>
      <c r="C388" s="7">
        <v>1602</v>
      </c>
      <c r="D388" s="8" t="s">
        <v>131</v>
      </c>
      <c r="E388" s="8" t="s">
        <v>19</v>
      </c>
      <c r="F388" s="8" t="s">
        <v>12</v>
      </c>
      <c r="G388" s="7">
        <v>45000</v>
      </c>
      <c r="H388" s="7">
        <v>40</v>
      </c>
      <c r="I388" s="7">
        <v>40</v>
      </c>
      <c r="J388" s="7">
        <v>20299.77</v>
      </c>
      <c r="K388" s="7">
        <v>14480.112074999999</v>
      </c>
      <c r="L388" s="7">
        <v>0</v>
      </c>
      <c r="M388" s="7">
        <v>28.67</v>
      </c>
      <c r="N388" s="7">
        <v>27.46</v>
      </c>
      <c r="O388" s="7">
        <v>799790.07999999996</v>
      </c>
      <c r="P388" s="7">
        <v>605664.57214599999</v>
      </c>
      <c r="Q388" s="7">
        <v>0</v>
      </c>
      <c r="R388" s="7">
        <v>24.27</v>
      </c>
      <c r="S388" s="7">
        <v>21</v>
      </c>
      <c r="T388" s="7">
        <v>22</v>
      </c>
      <c r="U388" s="7">
        <v>22</v>
      </c>
      <c r="V388" s="7">
        <v>168</v>
      </c>
      <c r="W388" s="7">
        <v>9.6300000000000008</v>
      </c>
      <c r="X388" s="7">
        <v>45000</v>
      </c>
      <c r="Y388" s="7">
        <v>0</v>
      </c>
      <c r="Z388" s="7">
        <v>5</v>
      </c>
      <c r="AA388" s="7">
        <v>20.43</v>
      </c>
      <c r="AB388" s="7">
        <v>2648</v>
      </c>
      <c r="AC388" s="7">
        <v>1006000</v>
      </c>
      <c r="AD388" s="7">
        <v>1006000</v>
      </c>
      <c r="AE388" s="7">
        <v>697731.87</v>
      </c>
      <c r="AF388" s="7">
        <v>899</v>
      </c>
      <c r="AG388" s="7">
        <v>589</v>
      </c>
      <c r="AH388" s="12">
        <v>899</v>
      </c>
    </row>
    <row r="389" spans="1:34" ht="21" hidden="1" x14ac:dyDescent="0.25">
      <c r="A389" s="11">
        <v>4</v>
      </c>
      <c r="B389" s="8" t="s">
        <v>15</v>
      </c>
      <c r="C389" s="7">
        <v>1604</v>
      </c>
      <c r="D389" s="8" t="s">
        <v>132</v>
      </c>
      <c r="E389" s="8" t="s">
        <v>19</v>
      </c>
      <c r="F389" s="8" t="s">
        <v>12</v>
      </c>
      <c r="G389" s="7">
        <v>0</v>
      </c>
      <c r="H389" s="7">
        <v>0</v>
      </c>
      <c r="I389" s="7">
        <v>0</v>
      </c>
      <c r="J389" s="7">
        <v>1995.9</v>
      </c>
      <c r="K389" s="7">
        <v>1289.3720269999999</v>
      </c>
      <c r="L389" s="7">
        <v>0</v>
      </c>
      <c r="M389" s="7">
        <v>35.4</v>
      </c>
      <c r="N389" s="7">
        <v>40</v>
      </c>
      <c r="O389" s="7">
        <v>519906.67</v>
      </c>
      <c r="P389" s="7">
        <v>377617.25475399999</v>
      </c>
      <c r="Q389" s="7">
        <v>0</v>
      </c>
      <c r="R389" s="7">
        <v>27.37</v>
      </c>
      <c r="S389" s="7">
        <v>1</v>
      </c>
      <c r="T389" s="7">
        <v>22</v>
      </c>
      <c r="U389" s="7">
        <v>22</v>
      </c>
      <c r="V389" s="7">
        <v>11</v>
      </c>
      <c r="W389" s="7">
        <v>11</v>
      </c>
      <c r="X389" s="7">
        <v>0</v>
      </c>
      <c r="Y389" s="7">
        <v>0</v>
      </c>
      <c r="Z389" s="7">
        <v>0</v>
      </c>
      <c r="AA389" s="7">
        <v>24.16</v>
      </c>
      <c r="AB389" s="7">
        <v>2648</v>
      </c>
      <c r="AC389" s="7">
        <v>721000</v>
      </c>
      <c r="AD389" s="7">
        <v>721000</v>
      </c>
      <c r="AE389" s="7">
        <v>519906.67</v>
      </c>
      <c r="AF389" s="7">
        <v>463</v>
      </c>
      <c r="AG389" s="7">
        <v>327</v>
      </c>
      <c r="AH389" s="12">
        <v>463</v>
      </c>
    </row>
    <row r="390" spans="1:34" ht="21" hidden="1" x14ac:dyDescent="0.25">
      <c r="A390" s="11">
        <v>10</v>
      </c>
      <c r="B390" s="8" t="s">
        <v>180</v>
      </c>
      <c r="C390" s="7">
        <v>1605</v>
      </c>
      <c r="D390" s="8" t="s">
        <v>133</v>
      </c>
      <c r="E390" s="8" t="s">
        <v>19</v>
      </c>
      <c r="F390" s="8" t="s">
        <v>12</v>
      </c>
      <c r="G390" s="7">
        <v>100000</v>
      </c>
      <c r="H390" s="7">
        <v>61</v>
      </c>
      <c r="I390" s="7">
        <v>61</v>
      </c>
      <c r="J390" s="7">
        <v>71432.320000000007</v>
      </c>
      <c r="K390" s="7">
        <v>55185.089789999998</v>
      </c>
      <c r="L390" s="7">
        <v>0</v>
      </c>
      <c r="M390" s="7">
        <v>22.74</v>
      </c>
      <c r="N390" s="7">
        <v>31.99</v>
      </c>
      <c r="O390" s="7">
        <v>0</v>
      </c>
      <c r="P390" s="7">
        <v>0</v>
      </c>
      <c r="Q390" s="7">
        <v>0</v>
      </c>
      <c r="R390" s="7">
        <v>0</v>
      </c>
      <c r="S390" s="7">
        <v>54</v>
      </c>
      <c r="T390" s="7">
        <v>22</v>
      </c>
      <c r="U390" s="7">
        <v>22</v>
      </c>
      <c r="V390" s="7">
        <v>226</v>
      </c>
      <c r="W390" s="7">
        <v>9.9</v>
      </c>
      <c r="X390" s="7">
        <v>100000</v>
      </c>
      <c r="Y390" s="7">
        <v>78.06</v>
      </c>
      <c r="Z390" s="7">
        <v>1</v>
      </c>
      <c r="AA390" s="7">
        <v>0</v>
      </c>
      <c r="AB390" s="7">
        <v>2648</v>
      </c>
      <c r="AC390" s="7">
        <v>610000</v>
      </c>
      <c r="AD390" s="7">
        <v>610000</v>
      </c>
      <c r="AE390" s="7">
        <v>494578.26</v>
      </c>
      <c r="AF390" s="7">
        <v>471</v>
      </c>
      <c r="AG390" s="7">
        <v>461</v>
      </c>
      <c r="AH390" s="12">
        <v>471</v>
      </c>
    </row>
    <row r="391" spans="1:34" ht="21" hidden="1" x14ac:dyDescent="0.25">
      <c r="A391" s="11">
        <v>17</v>
      </c>
      <c r="B391" s="8" t="s">
        <v>16</v>
      </c>
      <c r="C391" s="7">
        <v>1607</v>
      </c>
      <c r="D391" s="8" t="s">
        <v>135</v>
      </c>
      <c r="E391" s="8" t="s">
        <v>19</v>
      </c>
      <c r="F391" s="8" t="s">
        <v>12</v>
      </c>
      <c r="G391" s="7">
        <v>0</v>
      </c>
      <c r="H391" s="7">
        <v>0</v>
      </c>
      <c r="I391" s="7">
        <v>0</v>
      </c>
      <c r="J391" s="7">
        <v>7798.37</v>
      </c>
      <c r="K391" s="7">
        <v>5658.6514719999996</v>
      </c>
      <c r="L391" s="7">
        <v>0</v>
      </c>
      <c r="M391" s="7">
        <v>27.44</v>
      </c>
      <c r="N391" s="7">
        <v>20.21</v>
      </c>
      <c r="O391" s="7">
        <v>326151.40000000002</v>
      </c>
      <c r="P391" s="7">
        <v>231237.277481</v>
      </c>
      <c r="Q391" s="7">
        <v>0</v>
      </c>
      <c r="R391" s="7">
        <v>29.1</v>
      </c>
      <c r="S391" s="7">
        <v>10</v>
      </c>
      <c r="T391" s="7">
        <v>22</v>
      </c>
      <c r="U391" s="7">
        <v>22</v>
      </c>
      <c r="V391" s="7">
        <v>98</v>
      </c>
      <c r="W391" s="7">
        <v>10.82</v>
      </c>
      <c r="X391" s="7">
        <v>0</v>
      </c>
      <c r="Y391" s="7">
        <v>0</v>
      </c>
      <c r="Z391" s="7">
        <v>0</v>
      </c>
      <c r="AA391" s="7">
        <v>23.12</v>
      </c>
      <c r="AB391" s="7">
        <v>2648</v>
      </c>
      <c r="AC391" s="7">
        <v>573000</v>
      </c>
      <c r="AD391" s="7">
        <v>573000</v>
      </c>
      <c r="AE391" s="7">
        <v>326151.40000000002</v>
      </c>
      <c r="AF391" s="7">
        <v>315</v>
      </c>
      <c r="AG391" s="7">
        <v>139</v>
      </c>
      <c r="AH391" s="12">
        <v>315</v>
      </c>
    </row>
    <row r="392" spans="1:34" ht="21" hidden="1" x14ac:dyDescent="0.25">
      <c r="A392" s="11">
        <v>17</v>
      </c>
      <c r="B392" s="8" t="s">
        <v>16</v>
      </c>
      <c r="C392" s="7">
        <v>1608</v>
      </c>
      <c r="D392" s="8" t="s">
        <v>146</v>
      </c>
      <c r="E392" s="8" t="s">
        <v>19</v>
      </c>
      <c r="F392" s="8" t="s">
        <v>12</v>
      </c>
      <c r="G392" s="7">
        <v>75000</v>
      </c>
      <c r="H392" s="7">
        <v>43</v>
      </c>
      <c r="I392" s="7">
        <v>43</v>
      </c>
      <c r="J392" s="7">
        <v>52309.1</v>
      </c>
      <c r="K392" s="7">
        <v>37284.527812</v>
      </c>
      <c r="L392" s="7">
        <v>0</v>
      </c>
      <c r="M392" s="7">
        <v>28.72</v>
      </c>
      <c r="N392" s="7">
        <v>21.09</v>
      </c>
      <c r="O392" s="7">
        <v>326151.40000000002</v>
      </c>
      <c r="P392" s="7">
        <v>231237.277481</v>
      </c>
      <c r="Q392" s="7">
        <v>0</v>
      </c>
      <c r="R392" s="7">
        <v>29.1</v>
      </c>
      <c r="S392" s="7">
        <v>22</v>
      </c>
      <c r="T392" s="7">
        <v>22</v>
      </c>
      <c r="U392" s="7">
        <v>22</v>
      </c>
      <c r="V392" s="7">
        <v>210</v>
      </c>
      <c r="W392" s="7">
        <v>16.62</v>
      </c>
      <c r="X392" s="7">
        <v>75000</v>
      </c>
      <c r="Y392" s="7">
        <v>0</v>
      </c>
      <c r="Z392" s="7">
        <v>1</v>
      </c>
      <c r="AA392" s="7">
        <v>23.12</v>
      </c>
      <c r="AB392" s="7">
        <v>2648</v>
      </c>
      <c r="AC392" s="7">
        <v>573000</v>
      </c>
      <c r="AD392" s="7">
        <v>573000</v>
      </c>
      <c r="AE392" s="7">
        <v>326151.40000000002</v>
      </c>
      <c r="AF392" s="7">
        <v>315</v>
      </c>
      <c r="AG392" s="7">
        <v>139</v>
      </c>
      <c r="AH392" s="12">
        <v>315</v>
      </c>
    </row>
    <row r="393" spans="1:34" ht="21" hidden="1" x14ac:dyDescent="0.25">
      <c r="A393" s="11">
        <v>12</v>
      </c>
      <c r="B393" s="8" t="s">
        <v>14</v>
      </c>
      <c r="C393" s="7">
        <v>1609</v>
      </c>
      <c r="D393" s="8" t="s">
        <v>147</v>
      </c>
      <c r="E393" s="8" t="s">
        <v>19</v>
      </c>
      <c r="F393" s="8" t="s">
        <v>12</v>
      </c>
      <c r="G393" s="7">
        <v>32000</v>
      </c>
      <c r="H393" s="7">
        <v>40</v>
      </c>
      <c r="I393" s="7">
        <v>40</v>
      </c>
      <c r="J393" s="7">
        <v>27422.43</v>
      </c>
      <c r="K393" s="7">
        <v>20780.489216999998</v>
      </c>
      <c r="L393" s="7">
        <v>0</v>
      </c>
      <c r="M393" s="7">
        <v>24.22</v>
      </c>
      <c r="N393" s="7">
        <v>12.73</v>
      </c>
      <c r="O393" s="7">
        <v>328927.56</v>
      </c>
      <c r="P393" s="7">
        <v>249677.97298300001</v>
      </c>
      <c r="Q393" s="7">
        <v>0</v>
      </c>
      <c r="R393" s="7">
        <v>24.09</v>
      </c>
      <c r="S393" s="7">
        <v>43</v>
      </c>
      <c r="T393" s="7">
        <v>22</v>
      </c>
      <c r="U393" s="7">
        <v>22</v>
      </c>
      <c r="V393" s="7">
        <v>193</v>
      </c>
      <c r="W393" s="7">
        <v>10.71</v>
      </c>
      <c r="X393" s="7">
        <v>32000</v>
      </c>
      <c r="Y393" s="7">
        <v>0</v>
      </c>
      <c r="Z393" s="7">
        <v>0</v>
      </c>
      <c r="AA393" s="7">
        <v>27.59</v>
      </c>
      <c r="AB393" s="7">
        <v>2648</v>
      </c>
      <c r="AC393" s="7">
        <v>645000</v>
      </c>
      <c r="AD393" s="7">
        <v>645000</v>
      </c>
      <c r="AE393" s="7">
        <v>392162.47</v>
      </c>
      <c r="AF393" s="7">
        <v>790</v>
      </c>
      <c r="AG393" s="7">
        <v>478</v>
      </c>
      <c r="AH393" s="12">
        <v>790</v>
      </c>
    </row>
    <row r="394" spans="1:34" ht="21" hidden="1" x14ac:dyDescent="0.25">
      <c r="A394" s="11">
        <v>12</v>
      </c>
      <c r="B394" s="8" t="s">
        <v>14</v>
      </c>
      <c r="C394" s="7">
        <v>1610</v>
      </c>
      <c r="D394" s="8" t="s">
        <v>148</v>
      </c>
      <c r="E394" s="8" t="s">
        <v>19</v>
      </c>
      <c r="F394" s="8" t="s">
        <v>12</v>
      </c>
      <c r="G394" s="7">
        <v>25000</v>
      </c>
      <c r="H394" s="7">
        <v>35</v>
      </c>
      <c r="I394" s="7">
        <v>35</v>
      </c>
      <c r="J394" s="7">
        <v>20573.669999999998</v>
      </c>
      <c r="K394" s="7">
        <v>15517.11349</v>
      </c>
      <c r="L394" s="7">
        <v>0</v>
      </c>
      <c r="M394" s="7">
        <v>24.58</v>
      </c>
      <c r="N394" s="7">
        <v>12.24</v>
      </c>
      <c r="O394" s="7">
        <v>328927.56</v>
      </c>
      <c r="P394" s="7">
        <v>249677.97298300001</v>
      </c>
      <c r="Q394" s="7">
        <v>0</v>
      </c>
      <c r="R394" s="7">
        <v>24.09</v>
      </c>
      <c r="S394" s="7">
        <v>25</v>
      </c>
      <c r="T394" s="7">
        <v>22</v>
      </c>
      <c r="U394" s="7">
        <v>22</v>
      </c>
      <c r="V394" s="7">
        <v>114</v>
      </c>
      <c r="W394" s="7">
        <v>8.5299999999999994</v>
      </c>
      <c r="X394" s="7">
        <v>25000</v>
      </c>
      <c r="Y394" s="7">
        <v>28.99</v>
      </c>
      <c r="Z394" s="7">
        <v>0</v>
      </c>
      <c r="AA394" s="7">
        <v>27.59</v>
      </c>
      <c r="AB394" s="7">
        <v>2648</v>
      </c>
      <c r="AC394" s="7">
        <v>645000</v>
      </c>
      <c r="AD394" s="7">
        <v>645000</v>
      </c>
      <c r="AE394" s="7">
        <v>392162.47</v>
      </c>
      <c r="AF394" s="7">
        <v>790</v>
      </c>
      <c r="AG394" s="7">
        <v>478</v>
      </c>
      <c r="AH394" s="12">
        <v>790</v>
      </c>
    </row>
    <row r="395" spans="1:34" ht="21" hidden="1" x14ac:dyDescent="0.25">
      <c r="A395" s="11">
        <v>10</v>
      </c>
      <c r="B395" s="8" t="s">
        <v>180</v>
      </c>
      <c r="C395" s="7">
        <v>1611</v>
      </c>
      <c r="D395" s="8" t="s">
        <v>149</v>
      </c>
      <c r="E395" s="8" t="s">
        <v>19</v>
      </c>
      <c r="F395" s="8" t="s">
        <v>12</v>
      </c>
      <c r="G395" s="7">
        <v>25000</v>
      </c>
      <c r="H395" s="7">
        <v>25</v>
      </c>
      <c r="I395" s="7">
        <v>25</v>
      </c>
      <c r="J395" s="7">
        <v>10935.47</v>
      </c>
      <c r="K395" s="7">
        <v>8241.9216190000006</v>
      </c>
      <c r="L395" s="7">
        <v>0</v>
      </c>
      <c r="M395" s="7">
        <v>24.63</v>
      </c>
      <c r="N395" s="7">
        <v>21.55</v>
      </c>
      <c r="O395" s="7">
        <v>0</v>
      </c>
      <c r="P395" s="7">
        <v>0</v>
      </c>
      <c r="Q395" s="7">
        <v>0</v>
      </c>
      <c r="R395" s="7">
        <v>0</v>
      </c>
      <c r="S395" s="7">
        <v>15</v>
      </c>
      <c r="T395" s="7">
        <v>22</v>
      </c>
      <c r="U395" s="7">
        <v>22</v>
      </c>
      <c r="V395" s="7">
        <v>89</v>
      </c>
      <c r="W395" s="7">
        <v>10.06</v>
      </c>
      <c r="X395" s="7">
        <v>25000</v>
      </c>
      <c r="Y395" s="7">
        <v>0</v>
      </c>
      <c r="Z395" s="7">
        <v>0</v>
      </c>
      <c r="AA395" s="7">
        <v>0</v>
      </c>
      <c r="AB395" s="7">
        <v>2648</v>
      </c>
      <c r="AC395" s="7">
        <v>610000</v>
      </c>
      <c r="AD395" s="7">
        <v>610000</v>
      </c>
      <c r="AE395" s="7">
        <v>494578.26</v>
      </c>
      <c r="AF395" s="7">
        <v>471</v>
      </c>
      <c r="AG395" s="7">
        <v>461</v>
      </c>
      <c r="AH395" s="12">
        <v>471</v>
      </c>
    </row>
    <row r="396" spans="1:34" hidden="1" x14ac:dyDescent="0.25">
      <c r="A396" s="11">
        <v>2</v>
      </c>
      <c r="B396" s="8" t="s">
        <v>10</v>
      </c>
      <c r="C396" s="7">
        <v>28</v>
      </c>
      <c r="D396" s="8" t="s">
        <v>98</v>
      </c>
      <c r="E396" s="8" t="s">
        <v>150</v>
      </c>
      <c r="F396" s="8" t="s">
        <v>12</v>
      </c>
      <c r="G396" s="7">
        <v>0</v>
      </c>
      <c r="H396" s="7">
        <v>0</v>
      </c>
      <c r="I396" s="7">
        <v>0</v>
      </c>
      <c r="J396" s="7">
        <v>321.87</v>
      </c>
      <c r="K396" s="7">
        <v>2059.6563740000001</v>
      </c>
      <c r="L396" s="7">
        <v>0</v>
      </c>
      <c r="M396" s="7">
        <v>-539.9</v>
      </c>
      <c r="N396" s="7">
        <v>4.3</v>
      </c>
      <c r="O396" s="7">
        <v>879806.8</v>
      </c>
      <c r="P396" s="7">
        <v>661206.86622500001</v>
      </c>
      <c r="Q396" s="7">
        <v>0</v>
      </c>
      <c r="R396" s="7">
        <v>24.85</v>
      </c>
      <c r="S396" s="7">
        <v>1</v>
      </c>
      <c r="T396" s="7">
        <v>21</v>
      </c>
      <c r="U396" s="7">
        <v>21</v>
      </c>
      <c r="V396" s="7">
        <v>58</v>
      </c>
      <c r="W396" s="7">
        <v>2.77</v>
      </c>
      <c r="X396" s="7">
        <v>0</v>
      </c>
      <c r="Y396" s="7">
        <v>0</v>
      </c>
      <c r="Z396" s="7">
        <v>0</v>
      </c>
      <c r="AA396" s="7">
        <v>21.5</v>
      </c>
      <c r="AB396" s="7">
        <v>2975</v>
      </c>
      <c r="AC396" s="7">
        <v>1000000</v>
      </c>
      <c r="AD396" s="7">
        <v>1000000</v>
      </c>
      <c r="AE396" s="7">
        <v>881745.46</v>
      </c>
      <c r="AF396" s="7">
        <v>673</v>
      </c>
      <c r="AG396" s="7">
        <v>537</v>
      </c>
      <c r="AH396" s="12">
        <v>673</v>
      </c>
    </row>
    <row r="397" spans="1:34" ht="21" hidden="1" x14ac:dyDescent="0.25">
      <c r="A397" s="11">
        <v>10</v>
      </c>
      <c r="B397" s="8" t="s">
        <v>180</v>
      </c>
      <c r="C397" s="7">
        <v>314</v>
      </c>
      <c r="D397" s="8" t="s">
        <v>42</v>
      </c>
      <c r="E397" s="8" t="s">
        <v>150</v>
      </c>
      <c r="F397" s="8" t="s">
        <v>12</v>
      </c>
      <c r="G397" s="7">
        <v>90000</v>
      </c>
      <c r="H397" s="7">
        <v>65</v>
      </c>
      <c r="I397" s="7">
        <v>65</v>
      </c>
      <c r="J397" s="7">
        <v>84179.49</v>
      </c>
      <c r="K397" s="7">
        <v>63223.043278999998</v>
      </c>
      <c r="L397" s="7">
        <v>0</v>
      </c>
      <c r="M397" s="7">
        <v>24.89</v>
      </c>
      <c r="N397" s="7">
        <v>21.37</v>
      </c>
      <c r="O397" s="7">
        <v>609402.81000000006</v>
      </c>
      <c r="P397" s="7">
        <v>466447.92965499999</v>
      </c>
      <c r="Q397" s="7">
        <v>0</v>
      </c>
      <c r="R397" s="7">
        <v>23.46</v>
      </c>
      <c r="S397" s="7">
        <v>68</v>
      </c>
      <c r="T397" s="7">
        <v>21</v>
      </c>
      <c r="U397" s="7">
        <v>21</v>
      </c>
      <c r="V397" s="7">
        <v>331</v>
      </c>
      <c r="W397" s="7">
        <v>8.7200000000000006</v>
      </c>
      <c r="X397" s="7">
        <v>90000</v>
      </c>
      <c r="Y397" s="7">
        <v>189</v>
      </c>
      <c r="Z397" s="7">
        <v>0</v>
      </c>
      <c r="AA397" s="7">
        <v>22.93</v>
      </c>
      <c r="AB397" s="7">
        <v>2975</v>
      </c>
      <c r="AC397" s="7">
        <v>690000</v>
      </c>
      <c r="AD397" s="7">
        <v>690000</v>
      </c>
      <c r="AE397" s="7">
        <v>609402.81000000006</v>
      </c>
      <c r="AF397" s="7">
        <v>540</v>
      </c>
      <c r="AG397" s="7">
        <v>502</v>
      </c>
      <c r="AH397" s="12">
        <v>540</v>
      </c>
    </row>
    <row r="398" spans="1:34" ht="21" hidden="1" x14ac:dyDescent="0.25">
      <c r="A398" s="11">
        <v>4</v>
      </c>
      <c r="B398" s="8" t="s">
        <v>15</v>
      </c>
      <c r="C398" s="7">
        <v>374</v>
      </c>
      <c r="D398" s="8" t="s">
        <v>144</v>
      </c>
      <c r="E398" s="8" t="s">
        <v>150</v>
      </c>
      <c r="F398" s="8" t="s">
        <v>12</v>
      </c>
      <c r="G398" s="7">
        <v>10000</v>
      </c>
      <c r="H398" s="7">
        <v>10</v>
      </c>
      <c r="I398" s="7">
        <v>10</v>
      </c>
      <c r="J398" s="7">
        <v>19911.89</v>
      </c>
      <c r="K398" s="7">
        <v>14274.724770999999</v>
      </c>
      <c r="L398" s="7">
        <v>0</v>
      </c>
      <c r="M398" s="7">
        <v>28.31</v>
      </c>
      <c r="N398" s="7">
        <v>48.34</v>
      </c>
      <c r="O398" s="7">
        <v>648535.30000000005</v>
      </c>
      <c r="P398" s="7">
        <v>472008.05384399998</v>
      </c>
      <c r="Q398" s="7">
        <v>0</v>
      </c>
      <c r="R398" s="7">
        <v>27.22</v>
      </c>
      <c r="S398" s="7">
        <v>8</v>
      </c>
      <c r="T398" s="7">
        <v>21</v>
      </c>
      <c r="U398" s="7">
        <v>21</v>
      </c>
      <c r="V398" s="7">
        <v>72</v>
      </c>
      <c r="W398" s="7">
        <v>4.09</v>
      </c>
      <c r="X398" s="7">
        <v>10000</v>
      </c>
      <c r="Y398" s="7">
        <v>0</v>
      </c>
      <c r="Z398" s="7">
        <v>0</v>
      </c>
      <c r="AA398" s="7">
        <v>24.13</v>
      </c>
      <c r="AB398" s="7">
        <v>2975</v>
      </c>
      <c r="AC398" s="7">
        <v>639000</v>
      </c>
      <c r="AD398" s="7">
        <v>639000</v>
      </c>
      <c r="AE398" s="7">
        <v>648535.30000000005</v>
      </c>
      <c r="AF398" s="7">
        <v>423</v>
      </c>
      <c r="AG398" s="7">
        <v>372</v>
      </c>
      <c r="AH398" s="12">
        <v>423</v>
      </c>
    </row>
    <row r="399" spans="1:34" hidden="1" x14ac:dyDescent="0.25">
      <c r="A399" s="11">
        <v>2</v>
      </c>
      <c r="B399" s="8" t="s">
        <v>10</v>
      </c>
      <c r="C399" s="7">
        <v>423</v>
      </c>
      <c r="D399" s="8" t="s">
        <v>43</v>
      </c>
      <c r="E399" s="8" t="s">
        <v>150</v>
      </c>
      <c r="F399" s="8" t="s">
        <v>12</v>
      </c>
      <c r="G399" s="7">
        <v>100000</v>
      </c>
      <c r="H399" s="7">
        <v>70</v>
      </c>
      <c r="I399" s="7">
        <v>70</v>
      </c>
      <c r="J399" s="7">
        <v>83192.97</v>
      </c>
      <c r="K399" s="7">
        <v>60689.624173999997</v>
      </c>
      <c r="L399" s="7">
        <v>0</v>
      </c>
      <c r="M399" s="7">
        <v>27.05</v>
      </c>
      <c r="N399" s="7">
        <v>17.79</v>
      </c>
      <c r="O399" s="7">
        <v>879806.8</v>
      </c>
      <c r="P399" s="7">
        <v>661206.86622500001</v>
      </c>
      <c r="Q399" s="7">
        <v>0</v>
      </c>
      <c r="R399" s="7">
        <v>24.85</v>
      </c>
      <c r="S399" s="7">
        <v>59</v>
      </c>
      <c r="T399" s="7">
        <v>21</v>
      </c>
      <c r="U399" s="7">
        <v>21</v>
      </c>
      <c r="V399" s="7">
        <v>363</v>
      </c>
      <c r="W399" s="7">
        <v>11.07</v>
      </c>
      <c r="X399" s="7">
        <v>100000</v>
      </c>
      <c r="Y399" s="7">
        <v>1287.32</v>
      </c>
      <c r="Z399" s="7">
        <v>0</v>
      </c>
      <c r="AA399" s="7">
        <v>21.5</v>
      </c>
      <c r="AB399" s="7">
        <v>2975</v>
      </c>
      <c r="AC399" s="7">
        <v>1000000</v>
      </c>
      <c r="AD399" s="7">
        <v>1000000</v>
      </c>
      <c r="AE399" s="7">
        <v>881745.46</v>
      </c>
      <c r="AF399" s="7">
        <v>673</v>
      </c>
      <c r="AG399" s="7">
        <v>537</v>
      </c>
      <c r="AH399" s="12">
        <v>673</v>
      </c>
    </row>
    <row r="400" spans="1:34" ht="21" hidden="1" x14ac:dyDescent="0.25">
      <c r="A400" s="11">
        <v>6</v>
      </c>
      <c r="B400" s="8" t="s">
        <v>142</v>
      </c>
      <c r="C400" s="7">
        <v>465</v>
      </c>
      <c r="D400" s="8" t="s">
        <v>44</v>
      </c>
      <c r="E400" s="8" t="s">
        <v>150</v>
      </c>
      <c r="F400" s="8" t="s">
        <v>12</v>
      </c>
      <c r="G400" s="7">
        <v>85000</v>
      </c>
      <c r="H400" s="7">
        <v>82</v>
      </c>
      <c r="I400" s="7">
        <v>82</v>
      </c>
      <c r="J400" s="7">
        <v>80714.64</v>
      </c>
      <c r="K400" s="7">
        <v>60688.222467</v>
      </c>
      <c r="L400" s="7">
        <v>0</v>
      </c>
      <c r="M400" s="7">
        <v>24.81</v>
      </c>
      <c r="N400" s="7">
        <v>14.3</v>
      </c>
      <c r="O400" s="7">
        <v>677557.13</v>
      </c>
      <c r="P400" s="7">
        <v>511766.357211</v>
      </c>
      <c r="Q400" s="7">
        <v>0</v>
      </c>
      <c r="R400" s="7">
        <v>24.47</v>
      </c>
      <c r="S400" s="7">
        <v>74</v>
      </c>
      <c r="T400" s="7">
        <v>21</v>
      </c>
      <c r="U400" s="7">
        <v>21</v>
      </c>
      <c r="V400" s="7">
        <v>187</v>
      </c>
      <c r="W400" s="7">
        <v>6.64</v>
      </c>
      <c r="X400" s="7">
        <v>85000</v>
      </c>
      <c r="Y400" s="7">
        <v>564.41</v>
      </c>
      <c r="Z400" s="7">
        <v>1</v>
      </c>
      <c r="AA400" s="7">
        <v>18.489999999999998</v>
      </c>
      <c r="AB400" s="7">
        <v>2975</v>
      </c>
      <c r="AC400" s="7">
        <v>995000</v>
      </c>
      <c r="AD400" s="7">
        <v>995000</v>
      </c>
      <c r="AE400" s="7">
        <v>758102.34</v>
      </c>
      <c r="AF400" s="7">
        <v>860</v>
      </c>
      <c r="AG400" s="7">
        <v>634</v>
      </c>
      <c r="AH400" s="12">
        <v>860</v>
      </c>
    </row>
    <row r="401" spans="1:34" ht="21" hidden="1" x14ac:dyDescent="0.25">
      <c r="A401" s="11">
        <v>6</v>
      </c>
      <c r="B401" s="8" t="s">
        <v>142</v>
      </c>
      <c r="C401" s="7">
        <v>481</v>
      </c>
      <c r="D401" s="8" t="s">
        <v>45</v>
      </c>
      <c r="E401" s="8" t="s">
        <v>150</v>
      </c>
      <c r="F401" s="8" t="s">
        <v>12</v>
      </c>
      <c r="G401" s="7">
        <v>50000</v>
      </c>
      <c r="H401" s="7">
        <v>40</v>
      </c>
      <c r="I401" s="7">
        <v>40</v>
      </c>
      <c r="J401" s="7">
        <v>50270.8</v>
      </c>
      <c r="K401" s="7">
        <v>38534.643248</v>
      </c>
      <c r="L401" s="7">
        <v>0</v>
      </c>
      <c r="M401" s="7">
        <v>23.35</v>
      </c>
      <c r="N401" s="7">
        <v>22.72</v>
      </c>
      <c r="O401" s="7">
        <v>677557.13</v>
      </c>
      <c r="P401" s="7">
        <v>511766.357211</v>
      </c>
      <c r="Q401" s="7">
        <v>0</v>
      </c>
      <c r="R401" s="7">
        <v>24.47</v>
      </c>
      <c r="S401" s="7">
        <v>35</v>
      </c>
      <c r="T401" s="7">
        <v>21</v>
      </c>
      <c r="U401" s="7">
        <v>21</v>
      </c>
      <c r="V401" s="7">
        <v>221</v>
      </c>
      <c r="W401" s="7">
        <v>8.07</v>
      </c>
      <c r="X401" s="7">
        <v>50000</v>
      </c>
      <c r="Y401" s="7">
        <v>0</v>
      </c>
      <c r="Z401" s="7">
        <v>2</v>
      </c>
      <c r="AA401" s="7">
        <v>18.489999999999998</v>
      </c>
      <c r="AB401" s="7">
        <v>2975</v>
      </c>
      <c r="AC401" s="7">
        <v>995000</v>
      </c>
      <c r="AD401" s="7">
        <v>995000</v>
      </c>
      <c r="AE401" s="7">
        <v>758102.34</v>
      </c>
      <c r="AF401" s="7">
        <v>860</v>
      </c>
      <c r="AG401" s="7">
        <v>634</v>
      </c>
      <c r="AH401" s="12">
        <v>860</v>
      </c>
    </row>
    <row r="402" spans="1:34" hidden="1" x14ac:dyDescent="0.25">
      <c r="A402" s="11">
        <v>2</v>
      </c>
      <c r="B402" s="8" t="s">
        <v>10</v>
      </c>
      <c r="C402" s="7">
        <v>520</v>
      </c>
      <c r="D402" s="8" t="s">
        <v>46</v>
      </c>
      <c r="E402" s="8" t="s">
        <v>150</v>
      </c>
      <c r="F402" s="8" t="s">
        <v>12</v>
      </c>
      <c r="G402" s="7">
        <v>100000</v>
      </c>
      <c r="H402" s="7">
        <v>69</v>
      </c>
      <c r="I402" s="7">
        <v>69</v>
      </c>
      <c r="J402" s="7">
        <v>71346.009999999995</v>
      </c>
      <c r="K402" s="7">
        <v>52960.437012000002</v>
      </c>
      <c r="L402" s="7">
        <v>0</v>
      </c>
      <c r="M402" s="7">
        <v>25.77</v>
      </c>
      <c r="N402" s="7">
        <v>26.04</v>
      </c>
      <c r="O402" s="7">
        <v>879806.8</v>
      </c>
      <c r="P402" s="7">
        <v>661206.86622500001</v>
      </c>
      <c r="Q402" s="7">
        <v>0</v>
      </c>
      <c r="R402" s="7">
        <v>24.85</v>
      </c>
      <c r="S402" s="7">
        <v>38</v>
      </c>
      <c r="T402" s="7">
        <v>21</v>
      </c>
      <c r="U402" s="7">
        <v>21</v>
      </c>
      <c r="V402" s="7">
        <v>334</v>
      </c>
      <c r="W402" s="7">
        <v>13.61</v>
      </c>
      <c r="X402" s="7">
        <v>100000</v>
      </c>
      <c r="Y402" s="7">
        <v>2711.83</v>
      </c>
      <c r="Z402" s="7">
        <v>0</v>
      </c>
      <c r="AA402" s="7">
        <v>21.5</v>
      </c>
      <c r="AB402" s="7">
        <v>2975</v>
      </c>
      <c r="AC402" s="7">
        <v>1000000</v>
      </c>
      <c r="AD402" s="7">
        <v>1000000</v>
      </c>
      <c r="AE402" s="7">
        <v>881745.46</v>
      </c>
      <c r="AF402" s="7">
        <v>673</v>
      </c>
      <c r="AG402" s="7">
        <v>537</v>
      </c>
      <c r="AH402" s="12">
        <v>673</v>
      </c>
    </row>
    <row r="403" spans="1:34" hidden="1" x14ac:dyDescent="0.25">
      <c r="A403" s="11">
        <v>2</v>
      </c>
      <c r="B403" s="8" t="s">
        <v>10</v>
      </c>
      <c r="C403" s="7">
        <v>577</v>
      </c>
      <c r="D403" s="8" t="s">
        <v>47</v>
      </c>
      <c r="E403" s="8" t="s">
        <v>150</v>
      </c>
      <c r="F403" s="8" t="s">
        <v>12</v>
      </c>
      <c r="G403" s="7">
        <v>100000</v>
      </c>
      <c r="H403" s="7">
        <v>15</v>
      </c>
      <c r="I403" s="7">
        <v>15</v>
      </c>
      <c r="J403" s="7">
        <v>111785.39</v>
      </c>
      <c r="K403" s="7">
        <v>86492.820590000003</v>
      </c>
      <c r="L403" s="7">
        <v>0</v>
      </c>
      <c r="M403" s="7">
        <v>22.63</v>
      </c>
      <c r="N403" s="7">
        <v>17.61</v>
      </c>
      <c r="O403" s="7">
        <v>879806.8</v>
      </c>
      <c r="P403" s="7">
        <v>661206.86622500001</v>
      </c>
      <c r="Q403" s="7">
        <v>0</v>
      </c>
      <c r="R403" s="7">
        <v>24.85</v>
      </c>
      <c r="S403" s="7">
        <v>15</v>
      </c>
      <c r="T403" s="7">
        <v>21</v>
      </c>
      <c r="U403" s="7">
        <v>21</v>
      </c>
      <c r="V403" s="7">
        <v>164</v>
      </c>
      <c r="W403" s="7">
        <v>7.51</v>
      </c>
      <c r="X403" s="7">
        <v>100000</v>
      </c>
      <c r="Y403" s="7">
        <v>0</v>
      </c>
      <c r="Z403" s="7">
        <v>0</v>
      </c>
      <c r="AA403" s="7">
        <v>21.5</v>
      </c>
      <c r="AB403" s="7">
        <v>2975</v>
      </c>
      <c r="AC403" s="7">
        <v>1000000</v>
      </c>
      <c r="AD403" s="7">
        <v>1000000</v>
      </c>
      <c r="AE403" s="7">
        <v>881745.46</v>
      </c>
      <c r="AF403" s="7">
        <v>673</v>
      </c>
      <c r="AG403" s="7">
        <v>537</v>
      </c>
      <c r="AH403" s="12">
        <v>673</v>
      </c>
    </row>
    <row r="404" spans="1:34" ht="21" hidden="1" x14ac:dyDescent="0.25">
      <c r="A404" s="11">
        <v>6</v>
      </c>
      <c r="B404" s="8" t="s">
        <v>142</v>
      </c>
      <c r="C404" s="7">
        <v>580</v>
      </c>
      <c r="D404" s="8" t="s">
        <v>145</v>
      </c>
      <c r="E404" s="8" t="s">
        <v>150</v>
      </c>
      <c r="F404" s="8" t="s">
        <v>12</v>
      </c>
      <c r="G404" s="7">
        <v>100000</v>
      </c>
      <c r="H404" s="7">
        <v>100</v>
      </c>
      <c r="I404" s="7">
        <v>100</v>
      </c>
      <c r="J404" s="7">
        <v>20550.66</v>
      </c>
      <c r="K404" s="7">
        <v>15096.465717999999</v>
      </c>
      <c r="L404" s="7">
        <v>0</v>
      </c>
      <c r="M404" s="7">
        <v>26.54</v>
      </c>
      <c r="N404" s="7">
        <v>21.13</v>
      </c>
      <c r="O404" s="7">
        <v>677557.13</v>
      </c>
      <c r="P404" s="7">
        <v>511766.357211</v>
      </c>
      <c r="Q404" s="7">
        <v>0</v>
      </c>
      <c r="R404" s="7">
        <v>24.47</v>
      </c>
      <c r="S404" s="7">
        <v>31</v>
      </c>
      <c r="T404" s="7">
        <v>21</v>
      </c>
      <c r="U404" s="7">
        <v>21</v>
      </c>
      <c r="V404" s="7">
        <v>143</v>
      </c>
      <c r="W404" s="7">
        <v>9.26</v>
      </c>
      <c r="X404" s="7">
        <v>100000</v>
      </c>
      <c r="Y404" s="7">
        <v>58.62</v>
      </c>
      <c r="Z404" s="7">
        <v>0</v>
      </c>
      <c r="AA404" s="7">
        <v>18.489999999999998</v>
      </c>
      <c r="AB404" s="7">
        <v>2975</v>
      </c>
      <c r="AC404" s="7">
        <v>995000</v>
      </c>
      <c r="AD404" s="7">
        <v>995000</v>
      </c>
      <c r="AE404" s="7">
        <v>758102.34</v>
      </c>
      <c r="AF404" s="7">
        <v>860</v>
      </c>
      <c r="AG404" s="7">
        <v>634</v>
      </c>
      <c r="AH404" s="12">
        <v>860</v>
      </c>
    </row>
    <row r="405" spans="1:34" ht="21" hidden="1" x14ac:dyDescent="0.25">
      <c r="A405" s="11">
        <v>6</v>
      </c>
      <c r="B405" s="8" t="s">
        <v>142</v>
      </c>
      <c r="C405" s="7">
        <v>644</v>
      </c>
      <c r="D405" s="8" t="s">
        <v>156</v>
      </c>
      <c r="E405" s="8" t="s">
        <v>150</v>
      </c>
      <c r="F405" s="8" t="s">
        <v>12</v>
      </c>
      <c r="G405" s="7">
        <v>53000</v>
      </c>
      <c r="H405" s="7">
        <v>0</v>
      </c>
      <c r="I405" s="7">
        <v>0</v>
      </c>
      <c r="J405" s="7">
        <v>0</v>
      </c>
      <c r="K405" s="7">
        <v>2021.924489</v>
      </c>
      <c r="L405" s="7">
        <v>0</v>
      </c>
      <c r="M405" s="7">
        <v>0</v>
      </c>
      <c r="N405" s="7">
        <v>1</v>
      </c>
      <c r="O405" s="7">
        <v>677557.13</v>
      </c>
      <c r="P405" s="7">
        <v>511766.357211</v>
      </c>
      <c r="Q405" s="7">
        <v>0</v>
      </c>
      <c r="R405" s="7">
        <v>24.47</v>
      </c>
      <c r="S405" s="7">
        <v>0</v>
      </c>
      <c r="T405" s="7">
        <v>21</v>
      </c>
      <c r="U405" s="7">
        <v>21</v>
      </c>
      <c r="V405" s="7">
        <v>21</v>
      </c>
      <c r="W405" s="7">
        <v>2.42</v>
      </c>
      <c r="X405" s="7">
        <v>53000</v>
      </c>
      <c r="Y405" s="7">
        <v>0</v>
      </c>
      <c r="Z405" s="7">
        <v>0</v>
      </c>
      <c r="AA405" s="7">
        <v>18.489999999999998</v>
      </c>
      <c r="AB405" s="7">
        <v>2975</v>
      </c>
      <c r="AC405" s="7">
        <v>995000</v>
      </c>
      <c r="AD405" s="7">
        <v>995000</v>
      </c>
      <c r="AE405" s="7">
        <v>758102.34</v>
      </c>
      <c r="AF405" s="7">
        <v>860</v>
      </c>
      <c r="AG405" s="7">
        <v>634</v>
      </c>
      <c r="AH405" s="12">
        <v>860</v>
      </c>
    </row>
    <row r="406" spans="1:34" ht="21" hidden="1" x14ac:dyDescent="0.25">
      <c r="A406" s="11">
        <v>26</v>
      </c>
      <c r="B406" s="8" t="s">
        <v>13</v>
      </c>
      <c r="C406" s="7">
        <v>661</v>
      </c>
      <c r="D406" s="8" t="s">
        <v>48</v>
      </c>
      <c r="E406" s="8" t="s">
        <v>150</v>
      </c>
      <c r="F406" s="8" t="s">
        <v>12</v>
      </c>
      <c r="G406" s="7">
        <v>120000</v>
      </c>
      <c r="H406" s="7">
        <v>86</v>
      </c>
      <c r="I406" s="7">
        <v>86</v>
      </c>
      <c r="J406" s="7">
        <v>213866.69</v>
      </c>
      <c r="K406" s="7">
        <v>160973.17352700001</v>
      </c>
      <c r="L406" s="7">
        <v>0</v>
      </c>
      <c r="M406" s="7">
        <v>24.73</v>
      </c>
      <c r="N406" s="7">
        <v>25.72</v>
      </c>
      <c r="O406" s="7">
        <v>848979.92</v>
      </c>
      <c r="P406" s="7">
        <v>646957.69484799996</v>
      </c>
      <c r="Q406" s="7">
        <v>0</v>
      </c>
      <c r="R406" s="7">
        <v>23.8</v>
      </c>
      <c r="S406" s="7">
        <v>76</v>
      </c>
      <c r="T406" s="7">
        <v>21</v>
      </c>
      <c r="U406" s="7">
        <v>21</v>
      </c>
      <c r="V406" s="7">
        <v>298</v>
      </c>
      <c r="W406" s="7">
        <v>12.32</v>
      </c>
      <c r="X406" s="7">
        <v>120000</v>
      </c>
      <c r="Y406" s="7">
        <v>295.38</v>
      </c>
      <c r="Z406" s="7">
        <v>0</v>
      </c>
      <c r="AA406" s="7">
        <v>25.69</v>
      </c>
      <c r="AB406" s="7">
        <v>2975</v>
      </c>
      <c r="AC406" s="7">
        <v>895000</v>
      </c>
      <c r="AD406" s="7">
        <v>895000</v>
      </c>
      <c r="AE406" s="7">
        <v>939476.75</v>
      </c>
      <c r="AF406" s="7">
        <v>664</v>
      </c>
      <c r="AG406" s="7">
        <v>629</v>
      </c>
      <c r="AH406" s="12">
        <v>664</v>
      </c>
    </row>
    <row r="407" spans="1:34" hidden="1" x14ac:dyDescent="0.25">
      <c r="A407" s="11">
        <v>2</v>
      </c>
      <c r="B407" s="8" t="s">
        <v>10</v>
      </c>
      <c r="C407" s="7">
        <v>690</v>
      </c>
      <c r="D407" s="8" t="s">
        <v>49</v>
      </c>
      <c r="E407" s="8" t="s">
        <v>150</v>
      </c>
      <c r="F407" s="8" t="s">
        <v>12</v>
      </c>
      <c r="G407" s="7">
        <v>100000</v>
      </c>
      <c r="H407" s="7">
        <v>90</v>
      </c>
      <c r="I407" s="7">
        <v>90</v>
      </c>
      <c r="J407" s="7">
        <v>119070.55</v>
      </c>
      <c r="K407" s="7">
        <v>89414.805030999996</v>
      </c>
      <c r="L407" s="7">
        <v>0</v>
      </c>
      <c r="M407" s="7">
        <v>24.91</v>
      </c>
      <c r="N407" s="7">
        <v>21.58</v>
      </c>
      <c r="O407" s="7">
        <v>879806.8</v>
      </c>
      <c r="P407" s="7">
        <v>661206.86622500001</v>
      </c>
      <c r="Q407" s="7">
        <v>0</v>
      </c>
      <c r="R407" s="7">
        <v>24.85</v>
      </c>
      <c r="S407" s="7">
        <v>90</v>
      </c>
      <c r="T407" s="7">
        <v>21</v>
      </c>
      <c r="U407" s="7">
        <v>21</v>
      </c>
      <c r="V407" s="7">
        <v>431</v>
      </c>
      <c r="W407" s="7">
        <v>11.58</v>
      </c>
      <c r="X407" s="7">
        <v>100000</v>
      </c>
      <c r="Y407" s="7">
        <v>135.80000000000001</v>
      </c>
      <c r="Z407" s="7">
        <v>0</v>
      </c>
      <c r="AA407" s="7">
        <v>21.5</v>
      </c>
      <c r="AB407" s="7">
        <v>2975</v>
      </c>
      <c r="AC407" s="7">
        <v>1000000</v>
      </c>
      <c r="AD407" s="7">
        <v>1000000</v>
      </c>
      <c r="AE407" s="7">
        <v>881745.46</v>
      </c>
      <c r="AF407" s="7">
        <v>673</v>
      </c>
      <c r="AG407" s="7">
        <v>537</v>
      </c>
      <c r="AH407" s="12">
        <v>673</v>
      </c>
    </row>
    <row r="408" spans="1:34" ht="21" hidden="1" x14ac:dyDescent="0.25">
      <c r="A408" s="11">
        <v>6</v>
      </c>
      <c r="B408" s="8" t="s">
        <v>142</v>
      </c>
      <c r="C408" s="7">
        <v>704</v>
      </c>
      <c r="D408" s="8" t="s">
        <v>22</v>
      </c>
      <c r="E408" s="8" t="s">
        <v>150</v>
      </c>
      <c r="F408" s="8" t="s">
        <v>12</v>
      </c>
      <c r="G408" s="7">
        <v>0</v>
      </c>
      <c r="H408" s="7">
        <v>0</v>
      </c>
      <c r="I408" s="7">
        <v>0</v>
      </c>
      <c r="J408" s="7">
        <v>0</v>
      </c>
      <c r="K408" s="7">
        <v>485.76117199999999</v>
      </c>
      <c r="L408" s="7">
        <v>0</v>
      </c>
      <c r="M408" s="7">
        <v>0</v>
      </c>
      <c r="N408" s="7">
        <v>1</v>
      </c>
      <c r="O408" s="7">
        <v>677557.13</v>
      </c>
      <c r="P408" s="7">
        <v>511766.357211</v>
      </c>
      <c r="Q408" s="7">
        <v>0</v>
      </c>
      <c r="R408" s="7">
        <v>24.47</v>
      </c>
      <c r="S408" s="7">
        <v>0</v>
      </c>
      <c r="T408" s="7">
        <v>21</v>
      </c>
      <c r="U408" s="7">
        <v>21</v>
      </c>
      <c r="V408" s="7">
        <v>4</v>
      </c>
      <c r="W408" s="7">
        <v>1</v>
      </c>
      <c r="X408" s="7">
        <v>0</v>
      </c>
      <c r="Y408" s="7">
        <v>0</v>
      </c>
      <c r="Z408" s="7">
        <v>0</v>
      </c>
      <c r="AA408" s="7">
        <v>18.489999999999998</v>
      </c>
      <c r="AB408" s="7">
        <v>2975</v>
      </c>
      <c r="AC408" s="7">
        <v>995000</v>
      </c>
      <c r="AD408" s="7">
        <v>995000</v>
      </c>
      <c r="AE408" s="7">
        <v>758102.34</v>
      </c>
      <c r="AF408" s="7">
        <v>860</v>
      </c>
      <c r="AG408" s="7">
        <v>634</v>
      </c>
      <c r="AH408" s="12">
        <v>860</v>
      </c>
    </row>
    <row r="409" spans="1:34" ht="21" hidden="1" x14ac:dyDescent="0.25">
      <c r="A409" s="11">
        <v>26</v>
      </c>
      <c r="B409" s="8" t="s">
        <v>13</v>
      </c>
      <c r="C409" s="7">
        <v>705</v>
      </c>
      <c r="D409" s="8" t="s">
        <v>50</v>
      </c>
      <c r="E409" s="8" t="s">
        <v>150</v>
      </c>
      <c r="F409" s="8" t="s">
        <v>12</v>
      </c>
      <c r="G409" s="7">
        <v>100000</v>
      </c>
      <c r="H409" s="7">
        <v>35</v>
      </c>
      <c r="I409" s="7">
        <v>35</v>
      </c>
      <c r="J409" s="7">
        <v>52886.68</v>
      </c>
      <c r="K409" s="7">
        <v>40885.667237000001</v>
      </c>
      <c r="L409" s="7">
        <v>0</v>
      </c>
      <c r="M409" s="7">
        <v>22.69</v>
      </c>
      <c r="N409" s="7">
        <v>29.93</v>
      </c>
      <c r="O409" s="7">
        <v>848979.92</v>
      </c>
      <c r="P409" s="7">
        <v>646957.69484799996</v>
      </c>
      <c r="Q409" s="7">
        <v>0</v>
      </c>
      <c r="R409" s="7">
        <v>23.8</v>
      </c>
      <c r="S409" s="7">
        <v>35</v>
      </c>
      <c r="T409" s="7">
        <v>21</v>
      </c>
      <c r="U409" s="7">
        <v>21</v>
      </c>
      <c r="V409" s="7">
        <v>339</v>
      </c>
      <c r="W409" s="7">
        <v>10.93</v>
      </c>
      <c r="X409" s="7">
        <v>100000</v>
      </c>
      <c r="Y409" s="7">
        <v>0</v>
      </c>
      <c r="Z409" s="7">
        <v>0</v>
      </c>
      <c r="AA409" s="7">
        <v>25.69</v>
      </c>
      <c r="AB409" s="7">
        <v>2975</v>
      </c>
      <c r="AC409" s="7">
        <v>895000</v>
      </c>
      <c r="AD409" s="7">
        <v>895000</v>
      </c>
      <c r="AE409" s="7">
        <v>939476.75</v>
      </c>
      <c r="AF409" s="7">
        <v>664</v>
      </c>
      <c r="AG409" s="7">
        <v>629</v>
      </c>
      <c r="AH409" s="12">
        <v>664</v>
      </c>
    </row>
    <row r="410" spans="1:34" hidden="1" x14ac:dyDescent="0.25">
      <c r="A410" s="11">
        <v>2</v>
      </c>
      <c r="B410" s="8" t="s">
        <v>10</v>
      </c>
      <c r="C410" s="7">
        <v>756</v>
      </c>
      <c r="D410" s="8" t="s">
        <v>52</v>
      </c>
      <c r="E410" s="8" t="s">
        <v>150</v>
      </c>
      <c r="F410" s="8" t="s">
        <v>12</v>
      </c>
      <c r="G410" s="7">
        <v>100000</v>
      </c>
      <c r="H410" s="7">
        <v>60</v>
      </c>
      <c r="I410" s="7">
        <v>60</v>
      </c>
      <c r="J410" s="7">
        <v>61271.67</v>
      </c>
      <c r="K410" s="7">
        <v>47060.186890999998</v>
      </c>
      <c r="L410" s="7">
        <v>0</v>
      </c>
      <c r="M410" s="7">
        <v>23.19</v>
      </c>
      <c r="N410" s="7">
        <v>23.68</v>
      </c>
      <c r="O410" s="7">
        <v>879806.8</v>
      </c>
      <c r="P410" s="7">
        <v>661206.86622500001</v>
      </c>
      <c r="Q410" s="7">
        <v>0</v>
      </c>
      <c r="R410" s="7">
        <v>24.85</v>
      </c>
      <c r="S410" s="7">
        <v>47</v>
      </c>
      <c r="T410" s="7">
        <v>21</v>
      </c>
      <c r="U410" s="7">
        <v>21</v>
      </c>
      <c r="V410" s="7">
        <v>369</v>
      </c>
      <c r="W410" s="7">
        <v>11.47</v>
      </c>
      <c r="X410" s="7">
        <v>100000</v>
      </c>
      <c r="Y410" s="7">
        <v>80.33</v>
      </c>
      <c r="Z410" s="7">
        <v>3</v>
      </c>
      <c r="AA410" s="7">
        <v>21.5</v>
      </c>
      <c r="AB410" s="7">
        <v>2975</v>
      </c>
      <c r="AC410" s="7">
        <v>1000000</v>
      </c>
      <c r="AD410" s="7">
        <v>1000000</v>
      </c>
      <c r="AE410" s="7">
        <v>881745.46</v>
      </c>
      <c r="AF410" s="7">
        <v>673</v>
      </c>
      <c r="AG410" s="7">
        <v>537</v>
      </c>
      <c r="AH410" s="12">
        <v>673</v>
      </c>
    </row>
    <row r="411" spans="1:34" ht="21" hidden="1" x14ac:dyDescent="0.25">
      <c r="A411" s="11">
        <v>26</v>
      </c>
      <c r="B411" s="8" t="s">
        <v>13</v>
      </c>
      <c r="C411" s="7">
        <v>759</v>
      </c>
      <c r="D411" s="8" t="s">
        <v>53</v>
      </c>
      <c r="E411" s="8" t="s">
        <v>150</v>
      </c>
      <c r="F411" s="8" t="s">
        <v>12</v>
      </c>
      <c r="G411" s="7">
        <v>50000</v>
      </c>
      <c r="H411" s="7">
        <v>49</v>
      </c>
      <c r="I411" s="7">
        <v>49</v>
      </c>
      <c r="J411" s="7">
        <v>50551.06</v>
      </c>
      <c r="K411" s="7">
        <v>38177.835625</v>
      </c>
      <c r="L411" s="7">
        <v>0</v>
      </c>
      <c r="M411" s="7">
        <v>24.48</v>
      </c>
      <c r="N411" s="7">
        <v>18.86</v>
      </c>
      <c r="O411" s="7">
        <v>848979.92</v>
      </c>
      <c r="P411" s="7">
        <v>646957.69484799996</v>
      </c>
      <c r="Q411" s="7">
        <v>0</v>
      </c>
      <c r="R411" s="7">
        <v>23.8</v>
      </c>
      <c r="S411" s="7">
        <v>49</v>
      </c>
      <c r="T411" s="7">
        <v>21</v>
      </c>
      <c r="U411" s="7">
        <v>21</v>
      </c>
      <c r="V411" s="7">
        <v>255</v>
      </c>
      <c r="W411" s="7">
        <v>10.55</v>
      </c>
      <c r="X411" s="7">
        <v>50000</v>
      </c>
      <c r="Y411" s="7">
        <v>328.73</v>
      </c>
      <c r="Z411" s="7">
        <v>1</v>
      </c>
      <c r="AA411" s="7">
        <v>25.69</v>
      </c>
      <c r="AB411" s="7">
        <v>2975</v>
      </c>
      <c r="AC411" s="7">
        <v>895000</v>
      </c>
      <c r="AD411" s="7">
        <v>895000</v>
      </c>
      <c r="AE411" s="7">
        <v>939476.75</v>
      </c>
      <c r="AF411" s="7">
        <v>664</v>
      </c>
      <c r="AG411" s="7">
        <v>629</v>
      </c>
      <c r="AH411" s="12">
        <v>664</v>
      </c>
    </row>
    <row r="412" spans="1:34" ht="21" x14ac:dyDescent="0.25">
      <c r="A412" s="11">
        <v>5</v>
      </c>
      <c r="B412" s="8" t="s">
        <v>143</v>
      </c>
      <c r="C412" s="7">
        <v>760</v>
      </c>
      <c r="D412" s="8" t="s">
        <v>54</v>
      </c>
      <c r="E412" s="8" t="s">
        <v>150</v>
      </c>
      <c r="F412" s="8" t="s">
        <v>12</v>
      </c>
      <c r="G412" s="7">
        <v>147000</v>
      </c>
      <c r="H412" s="7">
        <v>30</v>
      </c>
      <c r="I412" s="7">
        <v>30</v>
      </c>
      <c r="J412" s="7">
        <v>176399.63</v>
      </c>
      <c r="K412" s="7">
        <v>135077.46394799999</v>
      </c>
      <c r="L412" s="7">
        <v>0</v>
      </c>
      <c r="M412" s="7">
        <v>23.43</v>
      </c>
      <c r="N412" s="7">
        <v>41.46</v>
      </c>
      <c r="O412" s="7">
        <v>371495.64</v>
      </c>
      <c r="P412" s="7">
        <v>286140.14858500002</v>
      </c>
      <c r="Q412" s="7">
        <v>0</v>
      </c>
      <c r="R412" s="7">
        <v>22.98</v>
      </c>
      <c r="S412" s="7">
        <v>32</v>
      </c>
      <c r="T412" s="7">
        <v>21</v>
      </c>
      <c r="U412" s="7">
        <v>21</v>
      </c>
      <c r="V412" s="7">
        <v>138</v>
      </c>
      <c r="W412" s="7">
        <v>5.94</v>
      </c>
      <c r="X412" s="7">
        <v>147000</v>
      </c>
      <c r="Y412" s="7">
        <v>13692.6</v>
      </c>
      <c r="Z412" s="7">
        <v>0</v>
      </c>
      <c r="AA412" s="7">
        <v>35.86</v>
      </c>
      <c r="AB412" s="7">
        <v>2975</v>
      </c>
      <c r="AC412" s="7">
        <v>332000</v>
      </c>
      <c r="AD412" s="7">
        <v>332000</v>
      </c>
      <c r="AE412" s="7">
        <v>371495.64</v>
      </c>
      <c r="AF412" s="7">
        <v>100</v>
      </c>
      <c r="AG412" s="7">
        <v>104</v>
      </c>
      <c r="AH412" s="12">
        <v>100</v>
      </c>
    </row>
    <row r="413" spans="1:34" ht="21" hidden="1" x14ac:dyDescent="0.25">
      <c r="A413" s="11">
        <v>6</v>
      </c>
      <c r="B413" s="8" t="s">
        <v>142</v>
      </c>
      <c r="C413" s="7">
        <v>764</v>
      </c>
      <c r="D413" s="8" t="s">
        <v>55</v>
      </c>
      <c r="E413" s="8" t="s">
        <v>150</v>
      </c>
      <c r="F413" s="8" t="s">
        <v>12</v>
      </c>
      <c r="G413" s="7">
        <v>108000</v>
      </c>
      <c r="H413" s="7">
        <v>83</v>
      </c>
      <c r="I413" s="7">
        <v>83</v>
      </c>
      <c r="J413" s="7">
        <v>118763.6</v>
      </c>
      <c r="K413" s="7">
        <v>89647.400359000007</v>
      </c>
      <c r="L413" s="7">
        <v>0</v>
      </c>
      <c r="M413" s="7">
        <v>24.52</v>
      </c>
      <c r="N413" s="7">
        <v>19.53</v>
      </c>
      <c r="O413" s="7">
        <v>677557.13</v>
      </c>
      <c r="P413" s="7">
        <v>511766.357211</v>
      </c>
      <c r="Q413" s="7">
        <v>0</v>
      </c>
      <c r="R413" s="7">
        <v>24.47</v>
      </c>
      <c r="S413" s="7">
        <v>83</v>
      </c>
      <c r="T413" s="7">
        <v>21</v>
      </c>
      <c r="U413" s="7">
        <v>21</v>
      </c>
      <c r="V413" s="7">
        <v>541</v>
      </c>
      <c r="W413" s="7">
        <v>12.63</v>
      </c>
      <c r="X413" s="7">
        <v>108000</v>
      </c>
      <c r="Y413" s="7">
        <v>66.58</v>
      </c>
      <c r="Z413" s="7">
        <v>0</v>
      </c>
      <c r="AA413" s="7">
        <v>18.489999999999998</v>
      </c>
      <c r="AB413" s="7">
        <v>2975</v>
      </c>
      <c r="AC413" s="7">
        <v>995000</v>
      </c>
      <c r="AD413" s="7">
        <v>995000</v>
      </c>
      <c r="AE413" s="7">
        <v>758102.34</v>
      </c>
      <c r="AF413" s="7">
        <v>860</v>
      </c>
      <c r="AG413" s="7">
        <v>634</v>
      </c>
      <c r="AH413" s="12">
        <v>860</v>
      </c>
    </row>
    <row r="414" spans="1:34" ht="21" hidden="1" x14ac:dyDescent="0.25">
      <c r="A414" s="11">
        <v>26</v>
      </c>
      <c r="B414" s="8" t="s">
        <v>13</v>
      </c>
      <c r="C414" s="7">
        <v>796</v>
      </c>
      <c r="D414" s="8" t="s">
        <v>61</v>
      </c>
      <c r="E414" s="8" t="s">
        <v>150</v>
      </c>
      <c r="F414" s="8" t="s">
        <v>12</v>
      </c>
      <c r="G414" s="7">
        <v>37000</v>
      </c>
      <c r="H414" s="7">
        <v>2</v>
      </c>
      <c r="I414" s="7">
        <v>2</v>
      </c>
      <c r="J414" s="7">
        <v>59095.92</v>
      </c>
      <c r="K414" s="7">
        <v>48834.852794999999</v>
      </c>
      <c r="L414" s="7">
        <v>0</v>
      </c>
      <c r="M414" s="7">
        <v>17.36</v>
      </c>
      <c r="N414" s="7">
        <v>42.24</v>
      </c>
      <c r="O414" s="7">
        <v>848979.92</v>
      </c>
      <c r="P414" s="7">
        <v>646957.69484799996</v>
      </c>
      <c r="Q414" s="7">
        <v>0</v>
      </c>
      <c r="R414" s="7">
        <v>23.8</v>
      </c>
      <c r="S414" s="7">
        <v>1</v>
      </c>
      <c r="T414" s="7">
        <v>21</v>
      </c>
      <c r="U414" s="7">
        <v>21</v>
      </c>
      <c r="V414" s="7">
        <v>242</v>
      </c>
      <c r="W414" s="7">
        <v>10.119999999999999</v>
      </c>
      <c r="X414" s="7">
        <v>37000</v>
      </c>
      <c r="Y414" s="7">
        <v>625.77</v>
      </c>
      <c r="Z414" s="7">
        <v>0</v>
      </c>
      <c r="AA414" s="7">
        <v>25.69</v>
      </c>
      <c r="AB414" s="7">
        <v>2975</v>
      </c>
      <c r="AC414" s="7">
        <v>895000</v>
      </c>
      <c r="AD414" s="7">
        <v>895000</v>
      </c>
      <c r="AE414" s="7">
        <v>939476.75</v>
      </c>
      <c r="AF414" s="7">
        <v>664</v>
      </c>
      <c r="AG414" s="7">
        <v>629</v>
      </c>
      <c r="AH414" s="12">
        <v>664</v>
      </c>
    </row>
    <row r="415" spans="1:34" ht="21" hidden="1" x14ac:dyDescent="0.25">
      <c r="A415" s="11">
        <v>12</v>
      </c>
      <c r="B415" s="8" t="s">
        <v>14</v>
      </c>
      <c r="C415" s="7">
        <v>800</v>
      </c>
      <c r="D415" s="8" t="s">
        <v>117</v>
      </c>
      <c r="E415" s="8" t="s">
        <v>150</v>
      </c>
      <c r="F415" s="8" t="s">
        <v>12</v>
      </c>
      <c r="G415" s="7">
        <v>70000</v>
      </c>
      <c r="H415" s="7">
        <v>70</v>
      </c>
      <c r="I415" s="7">
        <v>70</v>
      </c>
      <c r="J415" s="7">
        <v>32010.07</v>
      </c>
      <c r="K415" s="7">
        <v>24593.672216999999</v>
      </c>
      <c r="L415" s="7">
        <v>0</v>
      </c>
      <c r="M415" s="7">
        <v>23.17</v>
      </c>
      <c r="N415" s="7">
        <v>12.18</v>
      </c>
      <c r="O415" s="7">
        <v>317813.88</v>
      </c>
      <c r="P415" s="7">
        <v>244628.84228700001</v>
      </c>
      <c r="Q415" s="7">
        <v>0</v>
      </c>
      <c r="R415" s="7">
        <v>23.03</v>
      </c>
      <c r="S415" s="7">
        <v>56</v>
      </c>
      <c r="T415" s="7">
        <v>21</v>
      </c>
      <c r="U415" s="7">
        <v>21</v>
      </c>
      <c r="V415" s="7">
        <v>311</v>
      </c>
      <c r="W415" s="7">
        <v>9.0399999999999991</v>
      </c>
      <c r="X415" s="7">
        <v>70000</v>
      </c>
      <c r="Y415" s="7">
        <v>899.29</v>
      </c>
      <c r="Z415" s="7">
        <v>1</v>
      </c>
      <c r="AA415" s="7">
        <v>16.41</v>
      </c>
      <c r="AB415" s="7">
        <v>2975</v>
      </c>
      <c r="AC415" s="7">
        <v>634000</v>
      </c>
      <c r="AD415" s="7">
        <v>634000</v>
      </c>
      <c r="AE415" s="7">
        <v>317813.88</v>
      </c>
      <c r="AF415" s="7">
        <v>715</v>
      </c>
      <c r="AG415" s="7">
        <v>467</v>
      </c>
      <c r="AH415" s="12">
        <v>715</v>
      </c>
    </row>
    <row r="416" spans="1:34" hidden="1" x14ac:dyDescent="0.25">
      <c r="A416" s="11">
        <v>2</v>
      </c>
      <c r="B416" s="8" t="s">
        <v>10</v>
      </c>
      <c r="C416" s="7">
        <v>817</v>
      </c>
      <c r="D416" s="8" t="s">
        <v>57</v>
      </c>
      <c r="E416" s="8" t="s">
        <v>150</v>
      </c>
      <c r="F416" s="8" t="s">
        <v>12</v>
      </c>
      <c r="G416" s="7">
        <v>100000</v>
      </c>
      <c r="H416" s="7">
        <v>70</v>
      </c>
      <c r="I416" s="7">
        <v>70</v>
      </c>
      <c r="J416" s="7">
        <v>123816.41</v>
      </c>
      <c r="K416" s="7">
        <v>91330.027220999997</v>
      </c>
      <c r="L416" s="7">
        <v>0</v>
      </c>
      <c r="M416" s="7">
        <v>26.24</v>
      </c>
      <c r="N416" s="7">
        <v>21.33</v>
      </c>
      <c r="O416" s="7">
        <v>879806.8</v>
      </c>
      <c r="P416" s="7">
        <v>661206.86622500001</v>
      </c>
      <c r="Q416" s="7">
        <v>0</v>
      </c>
      <c r="R416" s="7">
        <v>24.85</v>
      </c>
      <c r="S416" s="7">
        <v>71</v>
      </c>
      <c r="T416" s="7">
        <v>21</v>
      </c>
      <c r="U416" s="7">
        <v>21</v>
      </c>
      <c r="V416" s="7">
        <v>427</v>
      </c>
      <c r="W416" s="7">
        <v>14.2</v>
      </c>
      <c r="X416" s="7">
        <v>100000</v>
      </c>
      <c r="Y416" s="7">
        <v>170.6</v>
      </c>
      <c r="Z416" s="7">
        <v>0</v>
      </c>
      <c r="AA416" s="7">
        <v>21.5</v>
      </c>
      <c r="AB416" s="7">
        <v>2975</v>
      </c>
      <c r="AC416" s="7">
        <v>1000000</v>
      </c>
      <c r="AD416" s="7">
        <v>1000000</v>
      </c>
      <c r="AE416" s="7">
        <v>881745.46</v>
      </c>
      <c r="AF416" s="7">
        <v>673</v>
      </c>
      <c r="AG416" s="7">
        <v>537</v>
      </c>
      <c r="AH416" s="12">
        <v>673</v>
      </c>
    </row>
    <row r="417" spans="1:34" ht="21" hidden="1" x14ac:dyDescent="0.25">
      <c r="A417" s="11">
        <v>12</v>
      </c>
      <c r="B417" s="8" t="s">
        <v>14</v>
      </c>
      <c r="C417" s="7">
        <v>853</v>
      </c>
      <c r="D417" s="8" t="s">
        <v>58</v>
      </c>
      <c r="E417" s="8" t="s">
        <v>150</v>
      </c>
      <c r="F417" s="8" t="s">
        <v>12</v>
      </c>
      <c r="G417" s="7">
        <v>55000</v>
      </c>
      <c r="H417" s="7">
        <v>65</v>
      </c>
      <c r="I417" s="7">
        <v>65</v>
      </c>
      <c r="J417" s="7">
        <v>31239.33</v>
      </c>
      <c r="K417" s="7">
        <v>24090.594527000001</v>
      </c>
      <c r="L417" s="7">
        <v>0</v>
      </c>
      <c r="M417" s="7">
        <v>22.88</v>
      </c>
      <c r="N417" s="7">
        <v>14.08</v>
      </c>
      <c r="O417" s="7">
        <v>317813.88</v>
      </c>
      <c r="P417" s="7">
        <v>244628.84228700001</v>
      </c>
      <c r="Q417" s="7">
        <v>0</v>
      </c>
      <c r="R417" s="7">
        <v>23.03</v>
      </c>
      <c r="S417" s="7">
        <v>42</v>
      </c>
      <c r="T417" s="7">
        <v>21</v>
      </c>
      <c r="U417" s="7">
        <v>21</v>
      </c>
      <c r="V417" s="7">
        <v>284</v>
      </c>
      <c r="W417" s="7">
        <v>11.23</v>
      </c>
      <c r="X417" s="7">
        <v>55000</v>
      </c>
      <c r="Y417" s="7">
        <v>364.24</v>
      </c>
      <c r="Z417" s="7">
        <v>0</v>
      </c>
      <c r="AA417" s="7">
        <v>16.41</v>
      </c>
      <c r="AB417" s="7">
        <v>2975</v>
      </c>
      <c r="AC417" s="7">
        <v>634000</v>
      </c>
      <c r="AD417" s="7">
        <v>634000</v>
      </c>
      <c r="AE417" s="7">
        <v>317813.88</v>
      </c>
      <c r="AF417" s="7">
        <v>715</v>
      </c>
      <c r="AG417" s="7">
        <v>467</v>
      </c>
      <c r="AH417" s="12">
        <v>715</v>
      </c>
    </row>
    <row r="418" spans="1:34" ht="21" hidden="1" x14ac:dyDescent="0.25">
      <c r="A418" s="11">
        <v>12</v>
      </c>
      <c r="B418" s="8" t="s">
        <v>14</v>
      </c>
      <c r="C418" s="7">
        <v>884</v>
      </c>
      <c r="D418" s="8" t="s">
        <v>140</v>
      </c>
      <c r="E418" s="8" t="s">
        <v>150</v>
      </c>
      <c r="F418" s="8" t="s">
        <v>12</v>
      </c>
      <c r="G418" s="7">
        <v>30000</v>
      </c>
      <c r="H418" s="7">
        <v>30</v>
      </c>
      <c r="I418" s="7">
        <v>30</v>
      </c>
      <c r="J418" s="7">
        <v>0</v>
      </c>
      <c r="K418" s="7">
        <v>2105.4779229999999</v>
      </c>
      <c r="L418" s="7">
        <v>0</v>
      </c>
      <c r="M418" s="7">
        <v>0</v>
      </c>
      <c r="N418" s="7">
        <v>1</v>
      </c>
      <c r="O418" s="7">
        <v>317813.88</v>
      </c>
      <c r="P418" s="7">
        <v>244628.84228700001</v>
      </c>
      <c r="Q418" s="7">
        <v>0</v>
      </c>
      <c r="R418" s="7">
        <v>23.03</v>
      </c>
      <c r="S418" s="7">
        <v>0</v>
      </c>
      <c r="T418" s="7">
        <v>21</v>
      </c>
      <c r="U418" s="7">
        <v>21</v>
      </c>
      <c r="V418" s="7">
        <v>31</v>
      </c>
      <c r="W418" s="7">
        <v>1.56</v>
      </c>
      <c r="X418" s="7">
        <v>30000</v>
      </c>
      <c r="Y418" s="7">
        <v>87.35</v>
      </c>
      <c r="Z418" s="7">
        <v>0</v>
      </c>
      <c r="AA418" s="7">
        <v>16.41</v>
      </c>
      <c r="AB418" s="7">
        <v>2975</v>
      </c>
      <c r="AC418" s="7">
        <v>634000</v>
      </c>
      <c r="AD418" s="7">
        <v>634000</v>
      </c>
      <c r="AE418" s="7">
        <v>317813.88</v>
      </c>
      <c r="AF418" s="7">
        <v>715</v>
      </c>
      <c r="AG418" s="7">
        <v>467</v>
      </c>
      <c r="AH418" s="12">
        <v>715</v>
      </c>
    </row>
    <row r="419" spans="1:34" ht="21" hidden="1" x14ac:dyDescent="0.25">
      <c r="A419" s="11">
        <v>10</v>
      </c>
      <c r="B419" s="8" t="s">
        <v>180</v>
      </c>
      <c r="C419" s="7">
        <v>922</v>
      </c>
      <c r="D419" s="8" t="s">
        <v>59</v>
      </c>
      <c r="E419" s="8" t="s">
        <v>150</v>
      </c>
      <c r="F419" s="8" t="s">
        <v>12</v>
      </c>
      <c r="G419" s="7">
        <v>60000</v>
      </c>
      <c r="H419" s="7">
        <v>70</v>
      </c>
      <c r="I419" s="7">
        <v>70</v>
      </c>
      <c r="J419" s="7">
        <v>67061.009999999995</v>
      </c>
      <c r="K419" s="7">
        <v>50824.769655999997</v>
      </c>
      <c r="L419" s="7">
        <v>0</v>
      </c>
      <c r="M419" s="7">
        <v>24.21</v>
      </c>
      <c r="N419" s="7">
        <v>16.96</v>
      </c>
      <c r="O419" s="7">
        <v>609402.81000000006</v>
      </c>
      <c r="P419" s="7">
        <v>466447.92965499999</v>
      </c>
      <c r="Q419" s="7">
        <v>0</v>
      </c>
      <c r="R419" s="7">
        <v>23.46</v>
      </c>
      <c r="S419" s="7">
        <v>68</v>
      </c>
      <c r="T419" s="7">
        <v>21</v>
      </c>
      <c r="U419" s="7">
        <v>21</v>
      </c>
      <c r="V419" s="7">
        <v>617</v>
      </c>
      <c r="W419" s="7">
        <v>14.58</v>
      </c>
      <c r="X419" s="7">
        <v>60000</v>
      </c>
      <c r="Y419" s="7">
        <v>951.58</v>
      </c>
      <c r="Z419" s="7">
        <v>0</v>
      </c>
      <c r="AA419" s="7">
        <v>22.93</v>
      </c>
      <c r="AB419" s="7">
        <v>2975</v>
      </c>
      <c r="AC419" s="7">
        <v>690000</v>
      </c>
      <c r="AD419" s="7">
        <v>690000</v>
      </c>
      <c r="AE419" s="7">
        <v>609402.81000000006</v>
      </c>
      <c r="AF419" s="7">
        <v>540</v>
      </c>
      <c r="AG419" s="7">
        <v>502</v>
      </c>
      <c r="AH419" s="12">
        <v>540</v>
      </c>
    </row>
    <row r="420" spans="1:34" ht="21" hidden="1" x14ac:dyDescent="0.25">
      <c r="A420" s="11">
        <v>4</v>
      </c>
      <c r="B420" s="8" t="s">
        <v>15</v>
      </c>
      <c r="C420" s="7">
        <v>949</v>
      </c>
      <c r="D420" s="8" t="s">
        <v>60</v>
      </c>
      <c r="E420" s="8" t="s">
        <v>150</v>
      </c>
      <c r="F420" s="8" t="s">
        <v>12</v>
      </c>
      <c r="G420" s="7">
        <v>108000</v>
      </c>
      <c r="H420" s="7">
        <v>65</v>
      </c>
      <c r="I420" s="7">
        <v>65</v>
      </c>
      <c r="J420" s="7">
        <v>134458.56</v>
      </c>
      <c r="K420" s="7">
        <v>99051.297470999998</v>
      </c>
      <c r="L420" s="7">
        <v>0</v>
      </c>
      <c r="M420" s="7">
        <v>26.33</v>
      </c>
      <c r="N420" s="7">
        <v>24.51</v>
      </c>
      <c r="O420" s="7">
        <v>648535.30000000005</v>
      </c>
      <c r="P420" s="7">
        <v>472008.05384399998</v>
      </c>
      <c r="Q420" s="7">
        <v>0</v>
      </c>
      <c r="R420" s="7">
        <v>27.22</v>
      </c>
      <c r="S420" s="7">
        <v>58</v>
      </c>
      <c r="T420" s="7">
        <v>21</v>
      </c>
      <c r="U420" s="7">
        <v>21</v>
      </c>
      <c r="V420" s="7">
        <v>698</v>
      </c>
      <c r="W420" s="7">
        <v>15.98</v>
      </c>
      <c r="X420" s="7">
        <v>108000</v>
      </c>
      <c r="Y420" s="7">
        <v>0</v>
      </c>
      <c r="Z420" s="7">
        <v>3</v>
      </c>
      <c r="AA420" s="7">
        <v>24.13</v>
      </c>
      <c r="AB420" s="7">
        <v>2975</v>
      </c>
      <c r="AC420" s="7">
        <v>639000</v>
      </c>
      <c r="AD420" s="7">
        <v>639000</v>
      </c>
      <c r="AE420" s="7">
        <v>648535.30000000005</v>
      </c>
      <c r="AF420" s="7">
        <v>423</v>
      </c>
      <c r="AG420" s="7">
        <v>372</v>
      </c>
      <c r="AH420" s="12">
        <v>423</v>
      </c>
    </row>
    <row r="421" spans="1:34" ht="21" hidden="1" x14ac:dyDescent="0.25">
      <c r="A421" s="11">
        <v>26</v>
      </c>
      <c r="B421" s="8" t="s">
        <v>13</v>
      </c>
      <c r="C421" s="7">
        <v>950</v>
      </c>
      <c r="D421" s="8" t="s">
        <v>61</v>
      </c>
      <c r="E421" s="8" t="s">
        <v>150</v>
      </c>
      <c r="F421" s="8" t="s">
        <v>12</v>
      </c>
      <c r="G421" s="7">
        <v>75000</v>
      </c>
      <c r="H421" s="7">
        <v>70</v>
      </c>
      <c r="I421" s="7">
        <v>70</v>
      </c>
      <c r="J421" s="7">
        <v>77933.11</v>
      </c>
      <c r="K421" s="7">
        <v>59073.096248000002</v>
      </c>
      <c r="L421" s="7">
        <v>0</v>
      </c>
      <c r="M421" s="7">
        <v>24.2</v>
      </c>
      <c r="N421" s="7">
        <v>22.9</v>
      </c>
      <c r="O421" s="7">
        <v>848979.92</v>
      </c>
      <c r="P421" s="7">
        <v>646957.69484799996</v>
      </c>
      <c r="Q421" s="7">
        <v>0</v>
      </c>
      <c r="R421" s="7">
        <v>23.8</v>
      </c>
      <c r="S421" s="7">
        <v>70</v>
      </c>
      <c r="T421" s="7">
        <v>21</v>
      </c>
      <c r="U421" s="7">
        <v>21</v>
      </c>
      <c r="V421" s="7">
        <v>312</v>
      </c>
      <c r="W421" s="7">
        <v>8.16</v>
      </c>
      <c r="X421" s="7">
        <v>75000</v>
      </c>
      <c r="Y421" s="7">
        <v>1145.7</v>
      </c>
      <c r="Z421" s="7">
        <v>2</v>
      </c>
      <c r="AA421" s="7">
        <v>25.69</v>
      </c>
      <c r="AB421" s="7">
        <v>2975</v>
      </c>
      <c r="AC421" s="7">
        <v>895000</v>
      </c>
      <c r="AD421" s="7">
        <v>895000</v>
      </c>
      <c r="AE421" s="7">
        <v>939476.75</v>
      </c>
      <c r="AF421" s="7">
        <v>664</v>
      </c>
      <c r="AG421" s="7">
        <v>629</v>
      </c>
      <c r="AH421" s="12">
        <v>664</v>
      </c>
    </row>
    <row r="422" spans="1:34" ht="21" hidden="1" x14ac:dyDescent="0.25">
      <c r="A422" s="11">
        <v>26</v>
      </c>
      <c r="B422" s="8" t="s">
        <v>13</v>
      </c>
      <c r="C422" s="7">
        <v>962</v>
      </c>
      <c r="D422" s="8" t="s">
        <v>63</v>
      </c>
      <c r="E422" s="8" t="s">
        <v>150</v>
      </c>
      <c r="F422" s="8" t="s">
        <v>12</v>
      </c>
      <c r="G422" s="7">
        <v>45000</v>
      </c>
      <c r="H422" s="7">
        <v>49</v>
      </c>
      <c r="I422" s="7">
        <v>49</v>
      </c>
      <c r="J422" s="7">
        <v>45883.5</v>
      </c>
      <c r="K422" s="7">
        <v>35062.052291</v>
      </c>
      <c r="L422" s="7">
        <v>0</v>
      </c>
      <c r="M422" s="7">
        <v>23.58</v>
      </c>
      <c r="N422" s="7">
        <v>19.82</v>
      </c>
      <c r="O422" s="7">
        <v>848979.92</v>
      </c>
      <c r="P422" s="7">
        <v>646957.69484799996</v>
      </c>
      <c r="Q422" s="7">
        <v>0</v>
      </c>
      <c r="R422" s="7">
        <v>23.8</v>
      </c>
      <c r="S422" s="7">
        <v>49</v>
      </c>
      <c r="T422" s="7">
        <v>21</v>
      </c>
      <c r="U422" s="7">
        <v>21</v>
      </c>
      <c r="V422" s="7">
        <v>354</v>
      </c>
      <c r="W422" s="7">
        <v>10.82</v>
      </c>
      <c r="X422" s="7">
        <v>45000</v>
      </c>
      <c r="Y422" s="7">
        <v>55.68</v>
      </c>
      <c r="Z422" s="7">
        <v>1</v>
      </c>
      <c r="AA422" s="7">
        <v>25.69</v>
      </c>
      <c r="AB422" s="7">
        <v>2975</v>
      </c>
      <c r="AC422" s="7">
        <v>895000</v>
      </c>
      <c r="AD422" s="7">
        <v>895000</v>
      </c>
      <c r="AE422" s="7">
        <v>939476.75</v>
      </c>
      <c r="AF422" s="7">
        <v>664</v>
      </c>
      <c r="AG422" s="7">
        <v>629</v>
      </c>
      <c r="AH422" s="12">
        <v>664</v>
      </c>
    </row>
    <row r="423" spans="1:34" ht="21" hidden="1" x14ac:dyDescent="0.25">
      <c r="A423" s="11">
        <v>4</v>
      </c>
      <c r="B423" s="8" t="s">
        <v>15</v>
      </c>
      <c r="C423" s="7">
        <v>977</v>
      </c>
      <c r="D423" s="8" t="s">
        <v>64</v>
      </c>
      <c r="E423" s="8" t="s">
        <v>150</v>
      </c>
      <c r="F423" s="8" t="s">
        <v>12</v>
      </c>
      <c r="G423" s="7">
        <v>150000</v>
      </c>
      <c r="H423" s="7">
        <v>104</v>
      </c>
      <c r="I423" s="7">
        <v>104</v>
      </c>
      <c r="J423" s="7">
        <v>155305.12</v>
      </c>
      <c r="K423" s="7">
        <v>112989.14868300001</v>
      </c>
      <c r="L423" s="7">
        <v>0</v>
      </c>
      <c r="M423" s="7">
        <v>27.25</v>
      </c>
      <c r="N423" s="7">
        <v>23.34</v>
      </c>
      <c r="O423" s="7">
        <v>648535.30000000005</v>
      </c>
      <c r="P423" s="7">
        <v>472008.05384399998</v>
      </c>
      <c r="Q423" s="7">
        <v>0</v>
      </c>
      <c r="R423" s="7">
        <v>27.22</v>
      </c>
      <c r="S423" s="7">
        <v>76</v>
      </c>
      <c r="T423" s="7">
        <v>21</v>
      </c>
      <c r="U423" s="7">
        <v>21</v>
      </c>
      <c r="V423" s="7">
        <v>771</v>
      </c>
      <c r="W423" s="7">
        <v>16.670000000000002</v>
      </c>
      <c r="X423" s="7">
        <v>150000</v>
      </c>
      <c r="Y423" s="7">
        <v>1716.52</v>
      </c>
      <c r="Z423" s="7">
        <v>0</v>
      </c>
      <c r="AA423" s="7">
        <v>24.13</v>
      </c>
      <c r="AB423" s="7">
        <v>2975</v>
      </c>
      <c r="AC423" s="7">
        <v>639000</v>
      </c>
      <c r="AD423" s="7">
        <v>639000</v>
      </c>
      <c r="AE423" s="7">
        <v>648535.30000000005</v>
      </c>
      <c r="AF423" s="7">
        <v>423</v>
      </c>
      <c r="AG423" s="7">
        <v>372</v>
      </c>
      <c r="AH423" s="12">
        <v>423</v>
      </c>
    </row>
    <row r="424" spans="1:34" ht="21" hidden="1" x14ac:dyDescent="0.25">
      <c r="A424" s="11">
        <v>6</v>
      </c>
      <c r="B424" s="8" t="s">
        <v>142</v>
      </c>
      <c r="C424" s="7">
        <v>983</v>
      </c>
      <c r="D424" s="8" t="s">
        <v>138</v>
      </c>
      <c r="E424" s="8" t="s">
        <v>150</v>
      </c>
      <c r="F424" s="8" t="s">
        <v>12</v>
      </c>
      <c r="G424" s="7">
        <v>105000</v>
      </c>
      <c r="H424" s="7">
        <v>100</v>
      </c>
      <c r="I424" s="7">
        <v>100</v>
      </c>
      <c r="J424" s="7">
        <v>114916.17</v>
      </c>
      <c r="K424" s="7">
        <v>86632.955532000007</v>
      </c>
      <c r="L424" s="7">
        <v>0</v>
      </c>
      <c r="M424" s="7">
        <v>24.61</v>
      </c>
      <c r="N424" s="7">
        <v>17.78</v>
      </c>
      <c r="O424" s="7">
        <v>677557.13</v>
      </c>
      <c r="P424" s="7">
        <v>511766.357211</v>
      </c>
      <c r="Q424" s="7">
        <v>0</v>
      </c>
      <c r="R424" s="7">
        <v>24.47</v>
      </c>
      <c r="S424" s="7">
        <v>83</v>
      </c>
      <c r="T424" s="7">
        <v>21</v>
      </c>
      <c r="U424" s="7">
        <v>21</v>
      </c>
      <c r="V424" s="7">
        <v>624</v>
      </c>
      <c r="W424" s="7">
        <v>16.809999999999999</v>
      </c>
      <c r="X424" s="7">
        <v>105000</v>
      </c>
      <c r="Y424" s="7">
        <v>64.349999999999994</v>
      </c>
      <c r="Z424" s="7">
        <v>0</v>
      </c>
      <c r="AA424" s="7">
        <v>18.489999999999998</v>
      </c>
      <c r="AB424" s="7">
        <v>2975</v>
      </c>
      <c r="AC424" s="7">
        <v>995000</v>
      </c>
      <c r="AD424" s="7">
        <v>995000</v>
      </c>
      <c r="AE424" s="7">
        <v>758102.34</v>
      </c>
      <c r="AF424" s="7">
        <v>860</v>
      </c>
      <c r="AG424" s="7">
        <v>634</v>
      </c>
      <c r="AH424" s="12">
        <v>860</v>
      </c>
    </row>
    <row r="425" spans="1:34" ht="21" x14ac:dyDescent="0.25">
      <c r="A425" s="11">
        <v>5</v>
      </c>
      <c r="B425" s="8" t="s">
        <v>143</v>
      </c>
      <c r="C425" s="7">
        <v>990</v>
      </c>
      <c r="D425" s="8" t="s">
        <v>136</v>
      </c>
      <c r="E425" s="8" t="s">
        <v>150</v>
      </c>
      <c r="F425" s="8" t="s">
        <v>12</v>
      </c>
      <c r="G425" s="7">
        <v>70000</v>
      </c>
      <c r="H425" s="7">
        <v>20</v>
      </c>
      <c r="I425" s="7">
        <v>20</v>
      </c>
      <c r="J425" s="7">
        <v>73726.44</v>
      </c>
      <c r="K425" s="7">
        <v>57265.681900000003</v>
      </c>
      <c r="L425" s="7">
        <v>0</v>
      </c>
      <c r="M425" s="7">
        <v>22.33</v>
      </c>
      <c r="N425" s="7">
        <v>31.49</v>
      </c>
      <c r="O425" s="7">
        <v>371495.64</v>
      </c>
      <c r="P425" s="7">
        <v>286140.14858500002</v>
      </c>
      <c r="Q425" s="7">
        <v>0</v>
      </c>
      <c r="R425" s="7">
        <v>22.98</v>
      </c>
      <c r="S425" s="7">
        <v>20</v>
      </c>
      <c r="T425" s="7">
        <v>21</v>
      </c>
      <c r="U425" s="7">
        <v>21</v>
      </c>
      <c r="V425" s="7">
        <v>73</v>
      </c>
      <c r="W425" s="7">
        <v>3.95</v>
      </c>
      <c r="X425" s="7">
        <v>70000</v>
      </c>
      <c r="Y425" s="7">
        <v>2331.6999999999998</v>
      </c>
      <c r="Z425" s="7">
        <v>0</v>
      </c>
      <c r="AA425" s="7">
        <v>35.86</v>
      </c>
      <c r="AB425" s="7">
        <v>2975</v>
      </c>
      <c r="AC425" s="7">
        <v>332000</v>
      </c>
      <c r="AD425" s="7">
        <v>332000</v>
      </c>
      <c r="AE425" s="7">
        <v>371495.64</v>
      </c>
      <c r="AF425" s="7">
        <v>100</v>
      </c>
      <c r="AG425" s="7">
        <v>104</v>
      </c>
      <c r="AH425" s="12">
        <v>100</v>
      </c>
    </row>
    <row r="426" spans="1:34" ht="21" hidden="1" x14ac:dyDescent="0.25">
      <c r="A426" s="11">
        <v>26</v>
      </c>
      <c r="B426" s="8" t="s">
        <v>13</v>
      </c>
      <c r="C426" s="7">
        <v>1023</v>
      </c>
      <c r="D426" s="8" t="s">
        <v>66</v>
      </c>
      <c r="E426" s="8" t="s">
        <v>150</v>
      </c>
      <c r="F426" s="8" t="s">
        <v>12</v>
      </c>
      <c r="G426" s="7">
        <v>110000</v>
      </c>
      <c r="H426" s="7">
        <v>100</v>
      </c>
      <c r="I426" s="7">
        <v>100</v>
      </c>
      <c r="J426" s="7">
        <v>110306.24000000001</v>
      </c>
      <c r="K426" s="7">
        <v>82849.899686999997</v>
      </c>
      <c r="L426" s="7">
        <v>0</v>
      </c>
      <c r="M426" s="7">
        <v>24.89</v>
      </c>
      <c r="N426" s="7">
        <v>19.329999999999998</v>
      </c>
      <c r="O426" s="7">
        <v>848979.92</v>
      </c>
      <c r="P426" s="7">
        <v>646957.69484799996</v>
      </c>
      <c r="Q426" s="7">
        <v>0</v>
      </c>
      <c r="R426" s="7">
        <v>23.8</v>
      </c>
      <c r="S426" s="7">
        <v>75</v>
      </c>
      <c r="T426" s="7">
        <v>21</v>
      </c>
      <c r="U426" s="7">
        <v>21</v>
      </c>
      <c r="V426" s="7">
        <v>557</v>
      </c>
      <c r="W426" s="7">
        <v>11.31</v>
      </c>
      <c r="X426" s="7">
        <v>110000</v>
      </c>
      <c r="Y426" s="7">
        <v>3562.58</v>
      </c>
      <c r="Z426" s="7">
        <v>3</v>
      </c>
      <c r="AA426" s="7">
        <v>25.69</v>
      </c>
      <c r="AB426" s="7">
        <v>2975</v>
      </c>
      <c r="AC426" s="7">
        <v>895000</v>
      </c>
      <c r="AD426" s="7">
        <v>895000</v>
      </c>
      <c r="AE426" s="7">
        <v>939476.75</v>
      </c>
      <c r="AF426" s="7">
        <v>664</v>
      </c>
      <c r="AG426" s="7">
        <v>629</v>
      </c>
      <c r="AH426" s="12">
        <v>664</v>
      </c>
    </row>
    <row r="427" spans="1:34" hidden="1" x14ac:dyDescent="0.25">
      <c r="A427" s="11">
        <v>2</v>
      </c>
      <c r="B427" s="8" t="s">
        <v>10</v>
      </c>
      <c r="C427" s="7">
        <v>1027</v>
      </c>
      <c r="D427" s="8" t="s">
        <v>127</v>
      </c>
      <c r="E427" s="8" t="s">
        <v>150</v>
      </c>
      <c r="F427" s="8" t="s">
        <v>12</v>
      </c>
      <c r="G427" s="7">
        <v>65000</v>
      </c>
      <c r="H427" s="7">
        <v>50</v>
      </c>
      <c r="I427" s="7">
        <v>50</v>
      </c>
      <c r="J427" s="7">
        <v>34109.93</v>
      </c>
      <c r="K427" s="7">
        <v>25482.512523000001</v>
      </c>
      <c r="L427" s="7">
        <v>0</v>
      </c>
      <c r="M427" s="7">
        <v>25.29</v>
      </c>
      <c r="N427" s="7">
        <v>22.73</v>
      </c>
      <c r="O427" s="7">
        <v>879806.8</v>
      </c>
      <c r="P427" s="7">
        <v>661206.86622500001</v>
      </c>
      <c r="Q427" s="7">
        <v>0</v>
      </c>
      <c r="R427" s="7">
        <v>24.85</v>
      </c>
      <c r="S427" s="7">
        <v>30</v>
      </c>
      <c r="T427" s="7">
        <v>21</v>
      </c>
      <c r="U427" s="7">
        <v>21</v>
      </c>
      <c r="V427" s="7">
        <v>313</v>
      </c>
      <c r="W427" s="7">
        <v>14.24</v>
      </c>
      <c r="X427" s="7">
        <v>65000</v>
      </c>
      <c r="Y427" s="7">
        <v>17.91</v>
      </c>
      <c r="Z427" s="7">
        <v>3</v>
      </c>
      <c r="AA427" s="7">
        <v>21.5</v>
      </c>
      <c r="AB427" s="7">
        <v>2975</v>
      </c>
      <c r="AC427" s="7">
        <v>1000000</v>
      </c>
      <c r="AD427" s="7">
        <v>1000000</v>
      </c>
      <c r="AE427" s="7">
        <v>881745.46</v>
      </c>
      <c r="AF427" s="7">
        <v>673</v>
      </c>
      <c r="AG427" s="7">
        <v>537</v>
      </c>
      <c r="AH427" s="12">
        <v>673</v>
      </c>
    </row>
    <row r="428" spans="1:34" ht="21" hidden="1" x14ac:dyDescent="0.25">
      <c r="A428" s="11">
        <v>12</v>
      </c>
      <c r="B428" s="8" t="s">
        <v>14</v>
      </c>
      <c r="C428" s="7">
        <v>1036</v>
      </c>
      <c r="D428" s="8" t="s">
        <v>45</v>
      </c>
      <c r="E428" s="8" t="s">
        <v>150</v>
      </c>
      <c r="F428" s="8" t="s">
        <v>12</v>
      </c>
      <c r="G428" s="7">
        <v>46000</v>
      </c>
      <c r="H428" s="7">
        <v>60</v>
      </c>
      <c r="I428" s="7">
        <v>60</v>
      </c>
      <c r="J428" s="7">
        <v>34128.720000000001</v>
      </c>
      <c r="K428" s="7">
        <v>25814.138019999999</v>
      </c>
      <c r="L428" s="7">
        <v>0</v>
      </c>
      <c r="M428" s="7">
        <v>24.36</v>
      </c>
      <c r="N428" s="7">
        <v>16.68</v>
      </c>
      <c r="O428" s="7">
        <v>317813.88</v>
      </c>
      <c r="P428" s="7">
        <v>244628.84228700001</v>
      </c>
      <c r="Q428" s="7">
        <v>0</v>
      </c>
      <c r="R428" s="7">
        <v>23.03</v>
      </c>
      <c r="S428" s="7">
        <v>49</v>
      </c>
      <c r="T428" s="7">
        <v>21</v>
      </c>
      <c r="U428" s="7">
        <v>21</v>
      </c>
      <c r="V428" s="7">
        <v>230</v>
      </c>
      <c r="W428" s="7">
        <v>8.27</v>
      </c>
      <c r="X428" s="7">
        <v>46000</v>
      </c>
      <c r="Y428" s="7">
        <v>470.11</v>
      </c>
      <c r="Z428" s="7">
        <v>0</v>
      </c>
      <c r="AA428" s="7">
        <v>16.41</v>
      </c>
      <c r="AB428" s="7">
        <v>2975</v>
      </c>
      <c r="AC428" s="7">
        <v>634000</v>
      </c>
      <c r="AD428" s="7">
        <v>634000</v>
      </c>
      <c r="AE428" s="7">
        <v>317813.88</v>
      </c>
      <c r="AF428" s="7">
        <v>715</v>
      </c>
      <c r="AG428" s="7">
        <v>467</v>
      </c>
      <c r="AH428" s="12">
        <v>715</v>
      </c>
    </row>
    <row r="429" spans="1:34" ht="21" hidden="1" x14ac:dyDescent="0.25">
      <c r="A429" s="11">
        <v>12</v>
      </c>
      <c r="B429" s="8" t="s">
        <v>14</v>
      </c>
      <c r="C429" s="7">
        <v>1068</v>
      </c>
      <c r="D429" s="8" t="s">
        <v>67</v>
      </c>
      <c r="E429" s="8" t="s">
        <v>150</v>
      </c>
      <c r="F429" s="8" t="s">
        <v>12</v>
      </c>
      <c r="G429" s="7">
        <v>65000</v>
      </c>
      <c r="H429" s="7">
        <v>65</v>
      </c>
      <c r="I429" s="7">
        <v>65</v>
      </c>
      <c r="J429" s="7">
        <v>4433.8999999999996</v>
      </c>
      <c r="K429" s="7">
        <v>3408.0046229999998</v>
      </c>
      <c r="L429" s="7">
        <v>0</v>
      </c>
      <c r="M429" s="7">
        <v>23.14</v>
      </c>
      <c r="N429" s="7">
        <v>23.42</v>
      </c>
      <c r="O429" s="7">
        <v>317813.88</v>
      </c>
      <c r="P429" s="7">
        <v>244628.84228700001</v>
      </c>
      <c r="Q429" s="7">
        <v>0</v>
      </c>
      <c r="R429" s="7">
        <v>23.03</v>
      </c>
      <c r="S429" s="7">
        <v>3</v>
      </c>
      <c r="T429" s="7">
        <v>21</v>
      </c>
      <c r="U429" s="7">
        <v>21</v>
      </c>
      <c r="V429" s="7">
        <v>73</v>
      </c>
      <c r="W429" s="7">
        <v>26.67</v>
      </c>
      <c r="X429" s="7">
        <v>65000</v>
      </c>
      <c r="Y429" s="7">
        <v>262.44</v>
      </c>
      <c r="Z429" s="7">
        <v>0</v>
      </c>
      <c r="AA429" s="7">
        <v>16.41</v>
      </c>
      <c r="AB429" s="7">
        <v>2975</v>
      </c>
      <c r="AC429" s="7">
        <v>634000</v>
      </c>
      <c r="AD429" s="7">
        <v>634000</v>
      </c>
      <c r="AE429" s="7">
        <v>317813.88</v>
      </c>
      <c r="AF429" s="7">
        <v>715</v>
      </c>
      <c r="AG429" s="7">
        <v>467</v>
      </c>
      <c r="AH429" s="12">
        <v>715</v>
      </c>
    </row>
    <row r="430" spans="1:34" ht="21" hidden="1" x14ac:dyDescent="0.25">
      <c r="A430" s="11">
        <v>6</v>
      </c>
      <c r="B430" s="8" t="s">
        <v>142</v>
      </c>
      <c r="C430" s="7">
        <v>1171</v>
      </c>
      <c r="D430" s="8" t="s">
        <v>68</v>
      </c>
      <c r="E430" s="8" t="s">
        <v>150</v>
      </c>
      <c r="F430" s="8" t="s">
        <v>12</v>
      </c>
      <c r="G430" s="7">
        <v>69000</v>
      </c>
      <c r="H430" s="7">
        <v>62</v>
      </c>
      <c r="I430" s="7">
        <v>62</v>
      </c>
      <c r="J430" s="7">
        <v>15959.37</v>
      </c>
      <c r="K430" s="7">
        <v>12213.74043</v>
      </c>
      <c r="L430" s="7">
        <v>0</v>
      </c>
      <c r="M430" s="7">
        <v>23.47</v>
      </c>
      <c r="N430" s="7">
        <v>19.38</v>
      </c>
      <c r="O430" s="7">
        <v>677557.13</v>
      </c>
      <c r="P430" s="7">
        <v>511766.357211</v>
      </c>
      <c r="Q430" s="7">
        <v>0</v>
      </c>
      <c r="R430" s="7">
        <v>24.47</v>
      </c>
      <c r="S430" s="7">
        <v>11</v>
      </c>
      <c r="T430" s="7">
        <v>21</v>
      </c>
      <c r="U430" s="7">
        <v>21</v>
      </c>
      <c r="V430" s="7">
        <v>156</v>
      </c>
      <c r="W430" s="7">
        <v>18.36</v>
      </c>
      <c r="X430" s="7">
        <v>69000</v>
      </c>
      <c r="Y430" s="7">
        <v>1115.0999999999999</v>
      </c>
      <c r="Z430" s="7">
        <v>0</v>
      </c>
      <c r="AA430" s="7">
        <v>18.489999999999998</v>
      </c>
      <c r="AB430" s="7">
        <v>2975</v>
      </c>
      <c r="AC430" s="7">
        <v>995000</v>
      </c>
      <c r="AD430" s="7">
        <v>995000</v>
      </c>
      <c r="AE430" s="7">
        <v>758102.34</v>
      </c>
      <c r="AF430" s="7">
        <v>860</v>
      </c>
      <c r="AG430" s="7">
        <v>634</v>
      </c>
      <c r="AH430" s="12">
        <v>860</v>
      </c>
    </row>
    <row r="431" spans="1:34" ht="21" hidden="1" x14ac:dyDescent="0.25">
      <c r="A431" s="11">
        <v>6</v>
      </c>
      <c r="B431" s="8" t="s">
        <v>142</v>
      </c>
      <c r="C431" s="7">
        <v>1237</v>
      </c>
      <c r="D431" s="8" t="s">
        <v>69</v>
      </c>
      <c r="E431" s="8" t="s">
        <v>150</v>
      </c>
      <c r="F431" s="8" t="s">
        <v>12</v>
      </c>
      <c r="G431" s="7">
        <v>90000</v>
      </c>
      <c r="H431" s="7">
        <v>80</v>
      </c>
      <c r="I431" s="7">
        <v>80</v>
      </c>
      <c r="J431" s="7">
        <v>70008.479999999996</v>
      </c>
      <c r="K431" s="7">
        <v>52600.258722999999</v>
      </c>
      <c r="L431" s="7">
        <v>0</v>
      </c>
      <c r="M431" s="7">
        <v>24.87</v>
      </c>
      <c r="N431" s="7">
        <v>23.17</v>
      </c>
      <c r="O431" s="7">
        <v>677557.13</v>
      </c>
      <c r="P431" s="7">
        <v>511766.357211</v>
      </c>
      <c r="Q431" s="7">
        <v>0</v>
      </c>
      <c r="R431" s="7">
        <v>24.47</v>
      </c>
      <c r="S431" s="7">
        <v>68</v>
      </c>
      <c r="T431" s="7">
        <v>21</v>
      </c>
      <c r="U431" s="7">
        <v>21</v>
      </c>
      <c r="V431" s="7">
        <v>460</v>
      </c>
      <c r="W431" s="7">
        <v>12.15</v>
      </c>
      <c r="X431" s="7">
        <v>90000</v>
      </c>
      <c r="Y431" s="7">
        <v>9.7799999999999994</v>
      </c>
      <c r="Z431" s="7">
        <v>0</v>
      </c>
      <c r="AA431" s="7">
        <v>18.489999999999998</v>
      </c>
      <c r="AB431" s="7">
        <v>2975</v>
      </c>
      <c r="AC431" s="7">
        <v>995000</v>
      </c>
      <c r="AD431" s="7">
        <v>995000</v>
      </c>
      <c r="AE431" s="7">
        <v>758102.34</v>
      </c>
      <c r="AF431" s="7">
        <v>860</v>
      </c>
      <c r="AG431" s="7">
        <v>634</v>
      </c>
      <c r="AH431" s="12">
        <v>860</v>
      </c>
    </row>
    <row r="432" spans="1:34" ht="21" hidden="1" x14ac:dyDescent="0.25">
      <c r="A432" s="11">
        <v>26</v>
      </c>
      <c r="B432" s="8" t="s">
        <v>13</v>
      </c>
      <c r="C432" s="7">
        <v>1238</v>
      </c>
      <c r="D432" s="8" t="s">
        <v>70</v>
      </c>
      <c r="E432" s="8" t="s">
        <v>150</v>
      </c>
      <c r="F432" s="8" t="s">
        <v>12</v>
      </c>
      <c r="G432" s="7">
        <v>40000</v>
      </c>
      <c r="H432" s="7">
        <v>15</v>
      </c>
      <c r="I432" s="7">
        <v>15</v>
      </c>
      <c r="J432" s="7">
        <v>39953.61</v>
      </c>
      <c r="K432" s="7">
        <v>29862.449374</v>
      </c>
      <c r="L432" s="7">
        <v>0</v>
      </c>
      <c r="M432" s="7">
        <v>25.26</v>
      </c>
      <c r="N432" s="7">
        <v>30.42</v>
      </c>
      <c r="O432" s="7">
        <v>848979.92</v>
      </c>
      <c r="P432" s="7">
        <v>646957.69484799996</v>
      </c>
      <c r="Q432" s="7">
        <v>0</v>
      </c>
      <c r="R432" s="7">
        <v>23.8</v>
      </c>
      <c r="S432" s="7">
        <v>15</v>
      </c>
      <c r="T432" s="7">
        <v>21</v>
      </c>
      <c r="U432" s="7">
        <v>21</v>
      </c>
      <c r="V432" s="7">
        <v>142</v>
      </c>
      <c r="W432" s="7">
        <v>9.48</v>
      </c>
      <c r="X432" s="7">
        <v>40000</v>
      </c>
      <c r="Y432" s="7">
        <v>3810.99</v>
      </c>
      <c r="Z432" s="7">
        <v>0</v>
      </c>
      <c r="AA432" s="7">
        <v>25.69</v>
      </c>
      <c r="AB432" s="7">
        <v>2975</v>
      </c>
      <c r="AC432" s="7">
        <v>895000</v>
      </c>
      <c r="AD432" s="7">
        <v>895000</v>
      </c>
      <c r="AE432" s="7">
        <v>939476.75</v>
      </c>
      <c r="AF432" s="7">
        <v>664</v>
      </c>
      <c r="AG432" s="7">
        <v>629</v>
      </c>
      <c r="AH432" s="12">
        <v>664</v>
      </c>
    </row>
    <row r="433" spans="1:34" ht="21" hidden="1" x14ac:dyDescent="0.25">
      <c r="A433" s="11">
        <v>26</v>
      </c>
      <c r="B433" s="8" t="s">
        <v>13</v>
      </c>
      <c r="C433" s="7">
        <v>1265</v>
      </c>
      <c r="D433" s="8" t="s">
        <v>71</v>
      </c>
      <c r="E433" s="8" t="s">
        <v>150</v>
      </c>
      <c r="F433" s="8" t="s">
        <v>12</v>
      </c>
      <c r="G433" s="7">
        <v>130000</v>
      </c>
      <c r="H433" s="7">
        <v>120</v>
      </c>
      <c r="I433" s="7">
        <v>120</v>
      </c>
      <c r="J433" s="7">
        <v>136403.72</v>
      </c>
      <c r="K433" s="7">
        <v>104560.582412</v>
      </c>
      <c r="L433" s="7">
        <v>0</v>
      </c>
      <c r="M433" s="7">
        <v>23.34</v>
      </c>
      <c r="N433" s="7">
        <v>23.99</v>
      </c>
      <c r="O433" s="7">
        <v>848979.92</v>
      </c>
      <c r="P433" s="7">
        <v>646957.69484799996</v>
      </c>
      <c r="Q433" s="7">
        <v>0</v>
      </c>
      <c r="R433" s="7">
        <v>23.8</v>
      </c>
      <c r="S433" s="7">
        <v>120</v>
      </c>
      <c r="T433" s="7">
        <v>21</v>
      </c>
      <c r="U433" s="7">
        <v>21</v>
      </c>
      <c r="V433" s="7">
        <v>347</v>
      </c>
      <c r="W433" s="7">
        <v>7.55</v>
      </c>
      <c r="X433" s="7">
        <v>130000</v>
      </c>
      <c r="Y433" s="7">
        <v>638.9</v>
      </c>
      <c r="Z433" s="7">
        <v>2</v>
      </c>
      <c r="AA433" s="7">
        <v>25.69</v>
      </c>
      <c r="AB433" s="7">
        <v>2975</v>
      </c>
      <c r="AC433" s="7">
        <v>895000</v>
      </c>
      <c r="AD433" s="7">
        <v>895000</v>
      </c>
      <c r="AE433" s="7">
        <v>939476.75</v>
      </c>
      <c r="AF433" s="7">
        <v>664</v>
      </c>
      <c r="AG433" s="7">
        <v>629</v>
      </c>
      <c r="AH433" s="12">
        <v>664</v>
      </c>
    </row>
    <row r="434" spans="1:34" ht="21" hidden="1" x14ac:dyDescent="0.25">
      <c r="A434" s="11">
        <v>10</v>
      </c>
      <c r="B434" s="8" t="s">
        <v>180</v>
      </c>
      <c r="C434" s="7">
        <v>1271</v>
      </c>
      <c r="D434" s="8" t="s">
        <v>72</v>
      </c>
      <c r="E434" s="8" t="s">
        <v>150</v>
      </c>
      <c r="F434" s="8" t="s">
        <v>12</v>
      </c>
      <c r="G434" s="7">
        <v>120000</v>
      </c>
      <c r="H434" s="7">
        <v>85</v>
      </c>
      <c r="I434" s="7">
        <v>85</v>
      </c>
      <c r="J434" s="7">
        <v>121308.55</v>
      </c>
      <c r="K434" s="7">
        <v>91964.684479999996</v>
      </c>
      <c r="L434" s="7">
        <v>0</v>
      </c>
      <c r="M434" s="7">
        <v>24.19</v>
      </c>
      <c r="N434" s="7">
        <v>15.97</v>
      </c>
      <c r="O434" s="7">
        <v>609402.81000000006</v>
      </c>
      <c r="P434" s="7">
        <v>466447.92965499999</v>
      </c>
      <c r="Q434" s="7">
        <v>0</v>
      </c>
      <c r="R434" s="7">
        <v>23.46</v>
      </c>
      <c r="S434" s="7">
        <v>102</v>
      </c>
      <c r="T434" s="7">
        <v>21</v>
      </c>
      <c r="U434" s="7">
        <v>21</v>
      </c>
      <c r="V434" s="7">
        <v>543</v>
      </c>
      <c r="W434" s="7">
        <v>9.34</v>
      </c>
      <c r="X434" s="7">
        <v>120000</v>
      </c>
      <c r="Y434" s="7">
        <v>448.44</v>
      </c>
      <c r="Z434" s="7">
        <v>0</v>
      </c>
      <c r="AA434" s="7">
        <v>22.93</v>
      </c>
      <c r="AB434" s="7">
        <v>2975</v>
      </c>
      <c r="AC434" s="7">
        <v>690000</v>
      </c>
      <c r="AD434" s="7">
        <v>690000</v>
      </c>
      <c r="AE434" s="7">
        <v>609402.81000000006</v>
      </c>
      <c r="AF434" s="7">
        <v>540</v>
      </c>
      <c r="AG434" s="7">
        <v>502</v>
      </c>
      <c r="AH434" s="12">
        <v>540</v>
      </c>
    </row>
    <row r="435" spans="1:34" hidden="1" x14ac:dyDescent="0.25">
      <c r="A435" s="11">
        <v>2</v>
      </c>
      <c r="B435" s="8" t="s">
        <v>10</v>
      </c>
      <c r="C435" s="7">
        <v>1280</v>
      </c>
      <c r="D435" s="8" t="s">
        <v>73</v>
      </c>
      <c r="E435" s="8" t="s">
        <v>150</v>
      </c>
      <c r="F435" s="8" t="s">
        <v>12</v>
      </c>
      <c r="G435" s="7">
        <v>85000</v>
      </c>
      <c r="H435" s="7">
        <v>60</v>
      </c>
      <c r="I435" s="7">
        <v>60</v>
      </c>
      <c r="J435" s="7">
        <v>45781.43</v>
      </c>
      <c r="K435" s="7">
        <v>33792.754917999999</v>
      </c>
      <c r="L435" s="7">
        <v>0</v>
      </c>
      <c r="M435" s="7">
        <v>26.19</v>
      </c>
      <c r="N435" s="7">
        <v>20.03</v>
      </c>
      <c r="O435" s="7">
        <v>879806.8</v>
      </c>
      <c r="P435" s="7">
        <v>661206.86622500001</v>
      </c>
      <c r="Q435" s="7">
        <v>0</v>
      </c>
      <c r="R435" s="7">
        <v>24.85</v>
      </c>
      <c r="S435" s="7">
        <v>30</v>
      </c>
      <c r="T435" s="7">
        <v>21</v>
      </c>
      <c r="U435" s="7">
        <v>21</v>
      </c>
      <c r="V435" s="7">
        <v>409</v>
      </c>
      <c r="W435" s="7">
        <v>15.24</v>
      </c>
      <c r="X435" s="7">
        <v>85000</v>
      </c>
      <c r="Y435" s="7">
        <v>17.739999999999998</v>
      </c>
      <c r="Z435" s="7">
        <v>0</v>
      </c>
      <c r="AA435" s="7">
        <v>21.5</v>
      </c>
      <c r="AB435" s="7">
        <v>2975</v>
      </c>
      <c r="AC435" s="7">
        <v>1000000</v>
      </c>
      <c r="AD435" s="7">
        <v>1000000</v>
      </c>
      <c r="AE435" s="7">
        <v>881745.46</v>
      </c>
      <c r="AF435" s="7">
        <v>673</v>
      </c>
      <c r="AG435" s="7">
        <v>537</v>
      </c>
      <c r="AH435" s="12">
        <v>673</v>
      </c>
    </row>
    <row r="436" spans="1:34" ht="21" hidden="1" x14ac:dyDescent="0.25">
      <c r="A436" s="11">
        <v>17</v>
      </c>
      <c r="B436" s="8" t="s">
        <v>16</v>
      </c>
      <c r="C436" s="7">
        <v>1292</v>
      </c>
      <c r="D436" s="8" t="s">
        <v>74</v>
      </c>
      <c r="E436" s="8" t="s">
        <v>150</v>
      </c>
      <c r="F436" s="8" t="s">
        <v>12</v>
      </c>
      <c r="G436" s="7">
        <v>100000</v>
      </c>
      <c r="H436" s="7">
        <v>55</v>
      </c>
      <c r="I436" s="7">
        <v>55</v>
      </c>
      <c r="J436" s="7">
        <v>91978.28</v>
      </c>
      <c r="K436" s="7">
        <v>64576.799955000002</v>
      </c>
      <c r="L436" s="7">
        <v>0</v>
      </c>
      <c r="M436" s="7">
        <v>29.79</v>
      </c>
      <c r="N436" s="7">
        <v>24.86</v>
      </c>
      <c r="O436" s="7">
        <v>366554.89</v>
      </c>
      <c r="P436" s="7">
        <v>265187.54963199998</v>
      </c>
      <c r="Q436" s="7">
        <v>0</v>
      </c>
      <c r="R436" s="7">
        <v>27.65</v>
      </c>
      <c r="S436" s="7">
        <v>48</v>
      </c>
      <c r="T436" s="7">
        <v>21</v>
      </c>
      <c r="U436" s="7">
        <v>21</v>
      </c>
      <c r="V436" s="7">
        <v>499</v>
      </c>
      <c r="W436" s="7">
        <v>16.260000000000002</v>
      </c>
      <c r="X436" s="7">
        <v>100000</v>
      </c>
      <c r="Y436" s="7">
        <v>0</v>
      </c>
      <c r="Z436" s="7">
        <v>0</v>
      </c>
      <c r="AA436" s="7">
        <v>26.11</v>
      </c>
      <c r="AB436" s="7">
        <v>2975</v>
      </c>
      <c r="AC436" s="7">
        <v>510000</v>
      </c>
      <c r="AD436" s="7">
        <v>510000</v>
      </c>
      <c r="AE436" s="7">
        <v>366554.89</v>
      </c>
      <c r="AF436" s="7">
        <v>280</v>
      </c>
      <c r="AG436" s="7">
        <v>192</v>
      </c>
      <c r="AH436" s="12">
        <v>280</v>
      </c>
    </row>
    <row r="437" spans="1:34" ht="21" hidden="1" x14ac:dyDescent="0.25">
      <c r="A437" s="11">
        <v>12</v>
      </c>
      <c r="B437" s="8" t="s">
        <v>14</v>
      </c>
      <c r="C437" s="7">
        <v>1330</v>
      </c>
      <c r="D437" s="8" t="s">
        <v>45</v>
      </c>
      <c r="E437" s="8" t="s">
        <v>150</v>
      </c>
      <c r="F437" s="8" t="s">
        <v>12</v>
      </c>
      <c r="G437" s="7">
        <v>70000</v>
      </c>
      <c r="H437" s="7">
        <v>70</v>
      </c>
      <c r="I437" s="7">
        <v>70</v>
      </c>
      <c r="J437" s="7">
        <v>17081.64</v>
      </c>
      <c r="K437" s="7">
        <v>12993.164199000001</v>
      </c>
      <c r="L437" s="7">
        <v>0</v>
      </c>
      <c r="M437" s="7">
        <v>23.93</v>
      </c>
      <c r="N437" s="7">
        <v>11.82</v>
      </c>
      <c r="O437" s="7">
        <v>317813.88</v>
      </c>
      <c r="P437" s="7">
        <v>244628.84228700001</v>
      </c>
      <c r="Q437" s="7">
        <v>0</v>
      </c>
      <c r="R437" s="7">
        <v>23.03</v>
      </c>
      <c r="S437" s="7">
        <v>34</v>
      </c>
      <c r="T437" s="7">
        <v>21</v>
      </c>
      <c r="U437" s="7">
        <v>21</v>
      </c>
      <c r="V437" s="7">
        <v>135</v>
      </c>
      <c r="W437" s="7">
        <v>5.38</v>
      </c>
      <c r="X437" s="7">
        <v>70000</v>
      </c>
      <c r="Y437" s="7">
        <v>1032.22</v>
      </c>
      <c r="Z437" s="7">
        <v>0</v>
      </c>
      <c r="AA437" s="7">
        <v>16.41</v>
      </c>
      <c r="AB437" s="7">
        <v>2975</v>
      </c>
      <c r="AC437" s="7">
        <v>634000</v>
      </c>
      <c r="AD437" s="7">
        <v>634000</v>
      </c>
      <c r="AE437" s="7">
        <v>317813.88</v>
      </c>
      <c r="AF437" s="7">
        <v>715</v>
      </c>
      <c r="AG437" s="7">
        <v>467</v>
      </c>
      <c r="AH437" s="12">
        <v>715</v>
      </c>
    </row>
    <row r="438" spans="1:34" ht="21" hidden="1" x14ac:dyDescent="0.25">
      <c r="A438" s="11">
        <v>6</v>
      </c>
      <c r="B438" s="8" t="s">
        <v>142</v>
      </c>
      <c r="C438" s="7">
        <v>1337</v>
      </c>
      <c r="D438" s="8" t="s">
        <v>128</v>
      </c>
      <c r="E438" s="8" t="s">
        <v>150</v>
      </c>
      <c r="F438" s="8" t="s">
        <v>12</v>
      </c>
      <c r="G438" s="7">
        <v>65000</v>
      </c>
      <c r="H438" s="7">
        <v>61</v>
      </c>
      <c r="I438" s="7">
        <v>61</v>
      </c>
      <c r="J438" s="7">
        <v>56713.9</v>
      </c>
      <c r="K438" s="7">
        <v>43335.585373000002</v>
      </c>
      <c r="L438" s="7">
        <v>0</v>
      </c>
      <c r="M438" s="7">
        <v>23.59</v>
      </c>
      <c r="N438" s="7">
        <v>18.16</v>
      </c>
      <c r="O438" s="7">
        <v>677557.13</v>
      </c>
      <c r="P438" s="7">
        <v>511766.357211</v>
      </c>
      <c r="Q438" s="7">
        <v>0</v>
      </c>
      <c r="R438" s="7">
        <v>24.47</v>
      </c>
      <c r="S438" s="7">
        <v>56</v>
      </c>
      <c r="T438" s="7">
        <v>21</v>
      </c>
      <c r="U438" s="7">
        <v>21</v>
      </c>
      <c r="V438" s="7">
        <v>265</v>
      </c>
      <c r="W438" s="7">
        <v>10.61</v>
      </c>
      <c r="X438" s="7">
        <v>65000</v>
      </c>
      <c r="Y438" s="7">
        <v>1327.85</v>
      </c>
      <c r="Z438" s="7">
        <v>1</v>
      </c>
      <c r="AA438" s="7">
        <v>18.489999999999998</v>
      </c>
      <c r="AB438" s="7">
        <v>2975</v>
      </c>
      <c r="AC438" s="7">
        <v>995000</v>
      </c>
      <c r="AD438" s="7">
        <v>995000</v>
      </c>
      <c r="AE438" s="7">
        <v>758102.34</v>
      </c>
      <c r="AF438" s="7">
        <v>860</v>
      </c>
      <c r="AG438" s="7">
        <v>634</v>
      </c>
      <c r="AH438" s="12">
        <v>860</v>
      </c>
    </row>
    <row r="439" spans="1:34" ht="21" hidden="1" x14ac:dyDescent="0.25">
      <c r="A439" s="11">
        <v>17</v>
      </c>
      <c r="B439" s="8" t="s">
        <v>16</v>
      </c>
      <c r="C439" s="7">
        <v>1343</v>
      </c>
      <c r="D439" s="8" t="s">
        <v>76</v>
      </c>
      <c r="E439" s="8" t="s">
        <v>150</v>
      </c>
      <c r="F439" s="8" t="s">
        <v>12</v>
      </c>
      <c r="G439" s="7">
        <v>40000</v>
      </c>
      <c r="H439" s="7">
        <v>1</v>
      </c>
      <c r="I439" s="7">
        <v>1</v>
      </c>
      <c r="J439" s="7">
        <v>22796.63</v>
      </c>
      <c r="K439" s="7">
        <v>15402.688265000001</v>
      </c>
      <c r="L439" s="7">
        <v>0</v>
      </c>
      <c r="M439" s="7">
        <v>32.43</v>
      </c>
      <c r="N439" s="7">
        <v>32.6</v>
      </c>
      <c r="O439" s="7">
        <v>366554.89</v>
      </c>
      <c r="P439" s="7">
        <v>265187.54963199998</v>
      </c>
      <c r="Q439" s="7">
        <v>0</v>
      </c>
      <c r="R439" s="7">
        <v>27.65</v>
      </c>
      <c r="S439" s="7">
        <v>2</v>
      </c>
      <c r="T439" s="7">
        <v>21</v>
      </c>
      <c r="U439" s="7">
        <v>21</v>
      </c>
      <c r="V439" s="7">
        <v>331</v>
      </c>
      <c r="W439" s="7">
        <v>47.38</v>
      </c>
      <c r="X439" s="7">
        <v>40000</v>
      </c>
      <c r="Y439" s="7">
        <v>0</v>
      </c>
      <c r="Z439" s="7">
        <v>0</v>
      </c>
      <c r="AA439" s="7">
        <v>26.11</v>
      </c>
      <c r="AB439" s="7">
        <v>2975</v>
      </c>
      <c r="AC439" s="7">
        <v>510000</v>
      </c>
      <c r="AD439" s="7">
        <v>510000</v>
      </c>
      <c r="AE439" s="7">
        <v>366554.89</v>
      </c>
      <c r="AF439" s="7">
        <v>280</v>
      </c>
      <c r="AG439" s="7">
        <v>192</v>
      </c>
      <c r="AH439" s="12">
        <v>280</v>
      </c>
    </row>
    <row r="440" spans="1:34" ht="21" hidden="1" x14ac:dyDescent="0.25">
      <c r="A440" s="11">
        <v>6</v>
      </c>
      <c r="B440" s="8" t="s">
        <v>142</v>
      </c>
      <c r="C440" s="7">
        <v>1385</v>
      </c>
      <c r="D440" s="8" t="s">
        <v>78</v>
      </c>
      <c r="E440" s="8" t="s">
        <v>150</v>
      </c>
      <c r="F440" s="8" t="s">
        <v>12</v>
      </c>
      <c r="G440" s="7">
        <v>75000</v>
      </c>
      <c r="H440" s="7">
        <v>77</v>
      </c>
      <c r="I440" s="7">
        <v>77</v>
      </c>
      <c r="J440" s="7">
        <v>85058.86</v>
      </c>
      <c r="K440" s="7">
        <v>65485.003860999997</v>
      </c>
      <c r="L440" s="7">
        <v>0</v>
      </c>
      <c r="M440" s="7">
        <v>23.01</v>
      </c>
      <c r="N440" s="7">
        <v>17.670000000000002</v>
      </c>
      <c r="O440" s="7">
        <v>677557.13</v>
      </c>
      <c r="P440" s="7">
        <v>511766.357211</v>
      </c>
      <c r="Q440" s="7">
        <v>0</v>
      </c>
      <c r="R440" s="7">
        <v>24.47</v>
      </c>
      <c r="S440" s="7">
        <v>79</v>
      </c>
      <c r="T440" s="7">
        <v>21</v>
      </c>
      <c r="U440" s="7">
        <v>21</v>
      </c>
      <c r="V440" s="7">
        <v>564</v>
      </c>
      <c r="W440" s="7">
        <v>14.85</v>
      </c>
      <c r="X440" s="7">
        <v>75000</v>
      </c>
      <c r="Y440" s="7">
        <v>514.30999999999995</v>
      </c>
      <c r="Z440" s="7">
        <v>0</v>
      </c>
      <c r="AA440" s="7">
        <v>18.489999999999998</v>
      </c>
      <c r="AB440" s="7">
        <v>2975</v>
      </c>
      <c r="AC440" s="7">
        <v>995000</v>
      </c>
      <c r="AD440" s="7">
        <v>995000</v>
      </c>
      <c r="AE440" s="7">
        <v>758102.34</v>
      </c>
      <c r="AF440" s="7">
        <v>860</v>
      </c>
      <c r="AG440" s="7">
        <v>634</v>
      </c>
      <c r="AH440" s="12">
        <v>860</v>
      </c>
    </row>
    <row r="441" spans="1:34" ht="21" hidden="1" x14ac:dyDescent="0.25">
      <c r="A441" s="11">
        <v>12</v>
      </c>
      <c r="B441" s="8" t="s">
        <v>14</v>
      </c>
      <c r="C441" s="7">
        <v>1390</v>
      </c>
      <c r="D441" s="8" t="s">
        <v>80</v>
      </c>
      <c r="E441" s="8" t="s">
        <v>150</v>
      </c>
      <c r="F441" s="8" t="s">
        <v>12</v>
      </c>
      <c r="G441" s="7">
        <v>55000</v>
      </c>
      <c r="H441" s="7">
        <v>60</v>
      </c>
      <c r="I441" s="7">
        <v>60</v>
      </c>
      <c r="J441" s="7">
        <v>29374.07</v>
      </c>
      <c r="K441" s="7">
        <v>22270.075739</v>
      </c>
      <c r="L441" s="7">
        <v>0</v>
      </c>
      <c r="M441" s="7">
        <v>24.18</v>
      </c>
      <c r="N441" s="7">
        <v>15.36</v>
      </c>
      <c r="O441" s="7">
        <v>317813.88</v>
      </c>
      <c r="P441" s="7">
        <v>244628.84228700001</v>
      </c>
      <c r="Q441" s="7">
        <v>0</v>
      </c>
      <c r="R441" s="7">
        <v>23.03</v>
      </c>
      <c r="S441" s="7">
        <v>54</v>
      </c>
      <c r="T441" s="7">
        <v>21</v>
      </c>
      <c r="U441" s="7">
        <v>21</v>
      </c>
      <c r="V441" s="7">
        <v>275</v>
      </c>
      <c r="W441" s="7">
        <v>9.69</v>
      </c>
      <c r="X441" s="7">
        <v>55000</v>
      </c>
      <c r="Y441" s="7">
        <v>312.54000000000002</v>
      </c>
      <c r="Z441" s="7">
        <v>2</v>
      </c>
      <c r="AA441" s="7">
        <v>16.41</v>
      </c>
      <c r="AB441" s="7">
        <v>2975</v>
      </c>
      <c r="AC441" s="7">
        <v>634000</v>
      </c>
      <c r="AD441" s="7">
        <v>634000</v>
      </c>
      <c r="AE441" s="7">
        <v>317813.88</v>
      </c>
      <c r="AF441" s="7">
        <v>715</v>
      </c>
      <c r="AG441" s="7">
        <v>467</v>
      </c>
      <c r="AH441" s="12">
        <v>715</v>
      </c>
    </row>
    <row r="442" spans="1:34" ht="21" hidden="1" x14ac:dyDescent="0.25">
      <c r="A442" s="11">
        <v>26</v>
      </c>
      <c r="B442" s="8" t="s">
        <v>13</v>
      </c>
      <c r="C442" s="7">
        <v>1394</v>
      </c>
      <c r="D442" s="8" t="s">
        <v>81</v>
      </c>
      <c r="E442" s="8" t="s">
        <v>150</v>
      </c>
      <c r="F442" s="8" t="s">
        <v>12</v>
      </c>
      <c r="G442" s="7">
        <v>48000</v>
      </c>
      <c r="H442" s="7">
        <v>57</v>
      </c>
      <c r="I442" s="7">
        <v>57</v>
      </c>
      <c r="J442" s="7">
        <v>36861.86</v>
      </c>
      <c r="K442" s="7">
        <v>27594.260548999999</v>
      </c>
      <c r="L442" s="7">
        <v>0</v>
      </c>
      <c r="M442" s="7">
        <v>25.14</v>
      </c>
      <c r="N442" s="7">
        <v>18.440000000000001</v>
      </c>
      <c r="O442" s="7">
        <v>848979.92</v>
      </c>
      <c r="P442" s="7">
        <v>646957.69484799996</v>
      </c>
      <c r="Q442" s="7">
        <v>0</v>
      </c>
      <c r="R442" s="7">
        <v>23.8</v>
      </c>
      <c r="S442" s="7">
        <v>59</v>
      </c>
      <c r="T442" s="7">
        <v>21</v>
      </c>
      <c r="U442" s="7">
        <v>21</v>
      </c>
      <c r="V442" s="7">
        <v>280</v>
      </c>
      <c r="W442" s="7">
        <v>7.41</v>
      </c>
      <c r="X442" s="7">
        <v>48000</v>
      </c>
      <c r="Y442" s="7">
        <v>573.58000000000004</v>
      </c>
      <c r="Z442" s="7">
        <v>2</v>
      </c>
      <c r="AA442" s="7">
        <v>25.69</v>
      </c>
      <c r="AB442" s="7">
        <v>2975</v>
      </c>
      <c r="AC442" s="7">
        <v>895000</v>
      </c>
      <c r="AD442" s="7">
        <v>895000</v>
      </c>
      <c r="AE442" s="7">
        <v>939476.75</v>
      </c>
      <c r="AF442" s="7">
        <v>664</v>
      </c>
      <c r="AG442" s="7">
        <v>629</v>
      </c>
      <c r="AH442" s="12">
        <v>664</v>
      </c>
    </row>
    <row r="443" spans="1:34" ht="21" hidden="1" x14ac:dyDescent="0.25">
      <c r="A443" s="11">
        <v>12</v>
      </c>
      <c r="B443" s="8" t="s">
        <v>14</v>
      </c>
      <c r="C443" s="7">
        <v>1402</v>
      </c>
      <c r="D443" s="8" t="s">
        <v>82</v>
      </c>
      <c r="E443" s="8" t="s">
        <v>150</v>
      </c>
      <c r="F443" s="8" t="s">
        <v>12</v>
      </c>
      <c r="G443" s="7">
        <v>50000</v>
      </c>
      <c r="H443" s="7">
        <v>60</v>
      </c>
      <c r="I443" s="7">
        <v>60</v>
      </c>
      <c r="J443" s="7">
        <v>43633.11</v>
      </c>
      <c r="K443" s="7">
        <v>33533.937532999997</v>
      </c>
      <c r="L443" s="7">
        <v>0</v>
      </c>
      <c r="M443" s="7">
        <v>23.15</v>
      </c>
      <c r="N443" s="7">
        <v>26.71</v>
      </c>
      <c r="O443" s="7">
        <v>317813.88</v>
      </c>
      <c r="P443" s="7">
        <v>244628.84228700001</v>
      </c>
      <c r="Q443" s="7">
        <v>0</v>
      </c>
      <c r="R443" s="7">
        <v>23.03</v>
      </c>
      <c r="S443" s="7">
        <v>40</v>
      </c>
      <c r="T443" s="7">
        <v>21</v>
      </c>
      <c r="U443" s="7">
        <v>21</v>
      </c>
      <c r="V443" s="7">
        <v>219</v>
      </c>
      <c r="W443" s="7">
        <v>5.43</v>
      </c>
      <c r="X443" s="7">
        <v>50000</v>
      </c>
      <c r="Y443" s="7">
        <v>7045.16</v>
      </c>
      <c r="Z443" s="7">
        <v>1</v>
      </c>
      <c r="AA443" s="7">
        <v>16.41</v>
      </c>
      <c r="AB443" s="7">
        <v>2975</v>
      </c>
      <c r="AC443" s="7">
        <v>634000</v>
      </c>
      <c r="AD443" s="7">
        <v>634000</v>
      </c>
      <c r="AE443" s="7">
        <v>317813.88</v>
      </c>
      <c r="AF443" s="7">
        <v>715</v>
      </c>
      <c r="AG443" s="7">
        <v>467</v>
      </c>
      <c r="AH443" s="12">
        <v>715</v>
      </c>
    </row>
    <row r="444" spans="1:34" ht="21" hidden="1" x14ac:dyDescent="0.25">
      <c r="A444" s="11">
        <v>17</v>
      </c>
      <c r="B444" s="8" t="s">
        <v>16</v>
      </c>
      <c r="C444" s="7">
        <v>1431</v>
      </c>
      <c r="D444" s="8" t="s">
        <v>49</v>
      </c>
      <c r="E444" s="8" t="s">
        <v>150</v>
      </c>
      <c r="F444" s="8" t="s">
        <v>12</v>
      </c>
      <c r="G444" s="7">
        <v>50000</v>
      </c>
      <c r="H444" s="7">
        <v>30</v>
      </c>
      <c r="I444" s="7">
        <v>30</v>
      </c>
      <c r="J444" s="7">
        <v>10789.13</v>
      </c>
      <c r="K444" s="7">
        <v>8070.0130859999999</v>
      </c>
      <c r="L444" s="7">
        <v>0</v>
      </c>
      <c r="M444" s="7">
        <v>25.2</v>
      </c>
      <c r="N444" s="7">
        <v>34.04</v>
      </c>
      <c r="O444" s="7">
        <v>366554.89</v>
      </c>
      <c r="P444" s="7">
        <v>265187.54963199998</v>
      </c>
      <c r="Q444" s="7">
        <v>0</v>
      </c>
      <c r="R444" s="7">
        <v>27.65</v>
      </c>
      <c r="S444" s="7">
        <v>1</v>
      </c>
      <c r="T444" s="7">
        <v>21</v>
      </c>
      <c r="U444" s="7">
        <v>21</v>
      </c>
      <c r="V444" s="7">
        <v>59</v>
      </c>
      <c r="W444" s="7">
        <v>12.2</v>
      </c>
      <c r="X444" s="7">
        <v>50000</v>
      </c>
      <c r="Y444" s="7">
        <v>0</v>
      </c>
      <c r="Z444" s="7">
        <v>0</v>
      </c>
      <c r="AA444" s="7">
        <v>26.11</v>
      </c>
      <c r="AB444" s="7">
        <v>2975</v>
      </c>
      <c r="AC444" s="7">
        <v>510000</v>
      </c>
      <c r="AD444" s="7">
        <v>510000</v>
      </c>
      <c r="AE444" s="7">
        <v>366554.89</v>
      </c>
      <c r="AF444" s="7">
        <v>280</v>
      </c>
      <c r="AG444" s="7">
        <v>192</v>
      </c>
      <c r="AH444" s="12">
        <v>280</v>
      </c>
    </row>
    <row r="445" spans="1:34" ht="21" hidden="1" x14ac:dyDescent="0.25">
      <c r="A445" s="11">
        <v>10</v>
      </c>
      <c r="B445" s="8" t="s">
        <v>180</v>
      </c>
      <c r="C445" s="7">
        <v>1450</v>
      </c>
      <c r="D445" s="8" t="s">
        <v>86</v>
      </c>
      <c r="E445" s="8" t="s">
        <v>150</v>
      </c>
      <c r="F445" s="8" t="s">
        <v>12</v>
      </c>
      <c r="G445" s="7">
        <v>75000</v>
      </c>
      <c r="H445" s="7">
        <v>65</v>
      </c>
      <c r="I445" s="7">
        <v>65</v>
      </c>
      <c r="J445" s="7">
        <v>83928.04</v>
      </c>
      <c r="K445" s="7">
        <v>63704.470229999999</v>
      </c>
      <c r="L445" s="7">
        <v>0</v>
      </c>
      <c r="M445" s="7">
        <v>24.1</v>
      </c>
      <c r="N445" s="7">
        <v>21.61</v>
      </c>
      <c r="O445" s="7">
        <v>609402.81000000006</v>
      </c>
      <c r="P445" s="7">
        <v>466447.92965499999</v>
      </c>
      <c r="Q445" s="7">
        <v>0</v>
      </c>
      <c r="R445" s="7">
        <v>23.46</v>
      </c>
      <c r="S445" s="7">
        <v>81</v>
      </c>
      <c r="T445" s="7">
        <v>21</v>
      </c>
      <c r="U445" s="7">
        <v>21</v>
      </c>
      <c r="V445" s="7">
        <v>702</v>
      </c>
      <c r="W445" s="7">
        <v>19.57</v>
      </c>
      <c r="X445" s="7">
        <v>75000</v>
      </c>
      <c r="Y445" s="7">
        <v>318.86</v>
      </c>
      <c r="Z445" s="7">
        <v>1</v>
      </c>
      <c r="AA445" s="7">
        <v>22.93</v>
      </c>
      <c r="AB445" s="7">
        <v>2975</v>
      </c>
      <c r="AC445" s="7">
        <v>690000</v>
      </c>
      <c r="AD445" s="7">
        <v>690000</v>
      </c>
      <c r="AE445" s="7">
        <v>609402.81000000006</v>
      </c>
      <c r="AF445" s="7">
        <v>540</v>
      </c>
      <c r="AG445" s="7">
        <v>502</v>
      </c>
      <c r="AH445" s="12">
        <v>540</v>
      </c>
    </row>
    <row r="446" spans="1:34" hidden="1" x14ac:dyDescent="0.25">
      <c r="A446" s="11">
        <v>2</v>
      </c>
      <c r="B446" s="8" t="s">
        <v>10</v>
      </c>
      <c r="C446" s="7">
        <v>1457</v>
      </c>
      <c r="D446" s="8" t="s">
        <v>42</v>
      </c>
      <c r="E446" s="8" t="s">
        <v>150</v>
      </c>
      <c r="F446" s="8" t="s">
        <v>12</v>
      </c>
      <c r="G446" s="7">
        <v>85000</v>
      </c>
      <c r="H446" s="7">
        <v>69</v>
      </c>
      <c r="I446" s="7">
        <v>69</v>
      </c>
      <c r="J446" s="7">
        <v>85982.46</v>
      </c>
      <c r="K446" s="7">
        <v>64986.757306</v>
      </c>
      <c r="L446" s="7">
        <v>0</v>
      </c>
      <c r="M446" s="7">
        <v>24.42</v>
      </c>
      <c r="N446" s="7">
        <v>28.85</v>
      </c>
      <c r="O446" s="7">
        <v>879806.8</v>
      </c>
      <c r="P446" s="7">
        <v>661206.86622500001</v>
      </c>
      <c r="Q446" s="7">
        <v>0</v>
      </c>
      <c r="R446" s="7">
        <v>24.85</v>
      </c>
      <c r="S446" s="7">
        <v>46</v>
      </c>
      <c r="T446" s="7">
        <v>21</v>
      </c>
      <c r="U446" s="7">
        <v>21</v>
      </c>
      <c r="V446" s="7">
        <v>541</v>
      </c>
      <c r="W446" s="7">
        <v>16.829999999999998</v>
      </c>
      <c r="X446" s="7">
        <v>85000</v>
      </c>
      <c r="Y446" s="7">
        <v>1152.72</v>
      </c>
      <c r="Z446" s="7">
        <v>1</v>
      </c>
      <c r="AA446" s="7">
        <v>21.5</v>
      </c>
      <c r="AB446" s="7">
        <v>2975</v>
      </c>
      <c r="AC446" s="7">
        <v>1000000</v>
      </c>
      <c r="AD446" s="7">
        <v>1000000</v>
      </c>
      <c r="AE446" s="7">
        <v>881745.46</v>
      </c>
      <c r="AF446" s="7">
        <v>673</v>
      </c>
      <c r="AG446" s="7">
        <v>537</v>
      </c>
      <c r="AH446" s="12">
        <v>673</v>
      </c>
    </row>
    <row r="447" spans="1:34" ht="21" hidden="1" x14ac:dyDescent="0.25">
      <c r="A447" s="11">
        <v>6</v>
      </c>
      <c r="B447" s="8" t="s">
        <v>142</v>
      </c>
      <c r="C447" s="7">
        <v>1466</v>
      </c>
      <c r="D447" s="8" t="s">
        <v>87</v>
      </c>
      <c r="E447" s="8" t="s">
        <v>150</v>
      </c>
      <c r="F447" s="8" t="s">
        <v>12</v>
      </c>
      <c r="G447" s="7">
        <v>105000</v>
      </c>
      <c r="H447" s="7">
        <v>90</v>
      </c>
      <c r="I447" s="7">
        <v>90</v>
      </c>
      <c r="J447" s="7">
        <v>86041.24</v>
      </c>
      <c r="K447" s="7">
        <v>64351.773051999997</v>
      </c>
      <c r="L447" s="7">
        <v>0</v>
      </c>
      <c r="M447" s="7">
        <v>25.21</v>
      </c>
      <c r="N447" s="7">
        <v>18.809999999999999</v>
      </c>
      <c r="O447" s="7">
        <v>677557.13</v>
      </c>
      <c r="P447" s="7">
        <v>511766.357211</v>
      </c>
      <c r="Q447" s="7">
        <v>0</v>
      </c>
      <c r="R447" s="7">
        <v>24.47</v>
      </c>
      <c r="S447" s="7">
        <v>57</v>
      </c>
      <c r="T447" s="7">
        <v>21</v>
      </c>
      <c r="U447" s="7">
        <v>21</v>
      </c>
      <c r="V447" s="7">
        <v>527</v>
      </c>
      <c r="W447" s="7">
        <v>13.18</v>
      </c>
      <c r="X447" s="7">
        <v>105000</v>
      </c>
      <c r="Y447" s="7">
        <v>7287.68</v>
      </c>
      <c r="Z447" s="7">
        <v>1</v>
      </c>
      <c r="AA447" s="7">
        <v>18.489999999999998</v>
      </c>
      <c r="AB447" s="7">
        <v>2975</v>
      </c>
      <c r="AC447" s="7">
        <v>995000</v>
      </c>
      <c r="AD447" s="7">
        <v>995000</v>
      </c>
      <c r="AE447" s="7">
        <v>758102.34</v>
      </c>
      <c r="AF447" s="7">
        <v>860</v>
      </c>
      <c r="AG447" s="7">
        <v>634</v>
      </c>
      <c r="AH447" s="12">
        <v>860</v>
      </c>
    </row>
    <row r="448" spans="1:34" ht="21" hidden="1" x14ac:dyDescent="0.25">
      <c r="A448" s="11">
        <v>4</v>
      </c>
      <c r="B448" s="8" t="s">
        <v>15</v>
      </c>
      <c r="C448" s="7">
        <v>1473</v>
      </c>
      <c r="D448" s="8" t="s">
        <v>88</v>
      </c>
      <c r="E448" s="8" t="s">
        <v>150</v>
      </c>
      <c r="F448" s="8" t="s">
        <v>12</v>
      </c>
      <c r="G448" s="7">
        <v>105000</v>
      </c>
      <c r="H448" s="7">
        <v>80</v>
      </c>
      <c r="I448" s="7">
        <v>80</v>
      </c>
      <c r="J448" s="7">
        <v>91372.71</v>
      </c>
      <c r="K448" s="7">
        <v>68529.145873000001</v>
      </c>
      <c r="L448" s="7">
        <v>0</v>
      </c>
      <c r="M448" s="7">
        <v>25</v>
      </c>
      <c r="N448" s="7">
        <v>17.72</v>
      </c>
      <c r="O448" s="7">
        <v>648535.30000000005</v>
      </c>
      <c r="P448" s="7">
        <v>472008.05384399998</v>
      </c>
      <c r="Q448" s="7">
        <v>0</v>
      </c>
      <c r="R448" s="7">
        <v>27.22</v>
      </c>
      <c r="S448" s="7">
        <v>65</v>
      </c>
      <c r="T448" s="7">
        <v>21</v>
      </c>
      <c r="U448" s="7">
        <v>21</v>
      </c>
      <c r="V448" s="7">
        <v>643</v>
      </c>
      <c r="W448" s="7">
        <v>12.96</v>
      </c>
      <c r="X448" s="7">
        <v>105000</v>
      </c>
      <c r="Y448" s="7">
        <v>674.88</v>
      </c>
      <c r="Z448" s="7">
        <v>3</v>
      </c>
      <c r="AA448" s="7">
        <v>24.13</v>
      </c>
      <c r="AB448" s="7">
        <v>2975</v>
      </c>
      <c r="AC448" s="7">
        <v>639000</v>
      </c>
      <c r="AD448" s="7">
        <v>639000</v>
      </c>
      <c r="AE448" s="7">
        <v>648535.30000000005</v>
      </c>
      <c r="AF448" s="7">
        <v>423</v>
      </c>
      <c r="AG448" s="7">
        <v>372</v>
      </c>
      <c r="AH448" s="12">
        <v>423</v>
      </c>
    </row>
    <row r="449" spans="1:34" ht="21" hidden="1" x14ac:dyDescent="0.25">
      <c r="A449" s="11">
        <v>17</v>
      </c>
      <c r="B449" s="8" t="s">
        <v>16</v>
      </c>
      <c r="C449" s="7">
        <v>1475</v>
      </c>
      <c r="D449" s="8" t="s">
        <v>82</v>
      </c>
      <c r="E449" s="8" t="s">
        <v>150</v>
      </c>
      <c r="F449" s="8" t="s">
        <v>12</v>
      </c>
      <c r="G449" s="7">
        <v>95000</v>
      </c>
      <c r="H449" s="7">
        <v>54</v>
      </c>
      <c r="I449" s="7">
        <v>54</v>
      </c>
      <c r="J449" s="7">
        <v>79183.88</v>
      </c>
      <c r="K449" s="7">
        <v>58522.490425000004</v>
      </c>
      <c r="L449" s="7">
        <v>0</v>
      </c>
      <c r="M449" s="7">
        <v>26.09</v>
      </c>
      <c r="N449" s="7">
        <v>28.95</v>
      </c>
      <c r="O449" s="7">
        <v>366554.89</v>
      </c>
      <c r="P449" s="7">
        <v>265187.54963199998</v>
      </c>
      <c r="Q449" s="7">
        <v>0</v>
      </c>
      <c r="R449" s="7">
        <v>27.65</v>
      </c>
      <c r="S449" s="7">
        <v>45</v>
      </c>
      <c r="T449" s="7">
        <v>21</v>
      </c>
      <c r="U449" s="7">
        <v>21</v>
      </c>
      <c r="V449" s="7">
        <v>393</v>
      </c>
      <c r="W449" s="7">
        <v>12.58</v>
      </c>
      <c r="X449" s="7">
        <v>95000</v>
      </c>
      <c r="Y449" s="7">
        <v>0</v>
      </c>
      <c r="Z449" s="7">
        <v>1</v>
      </c>
      <c r="AA449" s="7">
        <v>26.11</v>
      </c>
      <c r="AB449" s="7">
        <v>2975</v>
      </c>
      <c r="AC449" s="7">
        <v>510000</v>
      </c>
      <c r="AD449" s="7">
        <v>510000</v>
      </c>
      <c r="AE449" s="7">
        <v>366554.89</v>
      </c>
      <c r="AF449" s="7">
        <v>280</v>
      </c>
      <c r="AG449" s="7">
        <v>192</v>
      </c>
      <c r="AH449" s="12">
        <v>280</v>
      </c>
    </row>
    <row r="450" spans="1:34" ht="21" hidden="1" x14ac:dyDescent="0.25">
      <c r="A450" s="11">
        <v>10</v>
      </c>
      <c r="B450" s="8" t="s">
        <v>180</v>
      </c>
      <c r="C450" s="7">
        <v>1486</v>
      </c>
      <c r="D450" s="8" t="s">
        <v>89</v>
      </c>
      <c r="E450" s="8" t="s">
        <v>150</v>
      </c>
      <c r="F450" s="8" t="s">
        <v>12</v>
      </c>
      <c r="G450" s="7">
        <v>40000</v>
      </c>
      <c r="H450" s="7">
        <v>25</v>
      </c>
      <c r="I450" s="7">
        <v>25</v>
      </c>
      <c r="J450" s="7">
        <v>13826.96</v>
      </c>
      <c r="K450" s="7">
        <v>9998.5651890000008</v>
      </c>
      <c r="L450" s="7">
        <v>0</v>
      </c>
      <c r="M450" s="7">
        <v>27.69</v>
      </c>
      <c r="N450" s="7">
        <v>21.88</v>
      </c>
      <c r="O450" s="7">
        <v>609402.81000000006</v>
      </c>
      <c r="P450" s="7">
        <v>466447.92965499999</v>
      </c>
      <c r="Q450" s="7">
        <v>0</v>
      </c>
      <c r="R450" s="7">
        <v>23.46</v>
      </c>
      <c r="S450" s="7">
        <v>22</v>
      </c>
      <c r="T450" s="7">
        <v>21</v>
      </c>
      <c r="U450" s="7">
        <v>21</v>
      </c>
      <c r="V450" s="7">
        <v>76</v>
      </c>
      <c r="W450" s="7">
        <v>6</v>
      </c>
      <c r="X450" s="7">
        <v>40000</v>
      </c>
      <c r="Y450" s="7">
        <v>5.16</v>
      </c>
      <c r="Z450" s="7">
        <v>0</v>
      </c>
      <c r="AA450" s="7">
        <v>22.93</v>
      </c>
      <c r="AB450" s="7">
        <v>2975</v>
      </c>
      <c r="AC450" s="7">
        <v>690000</v>
      </c>
      <c r="AD450" s="7">
        <v>690000</v>
      </c>
      <c r="AE450" s="7">
        <v>609402.81000000006</v>
      </c>
      <c r="AF450" s="7">
        <v>540</v>
      </c>
      <c r="AG450" s="7">
        <v>502</v>
      </c>
      <c r="AH450" s="12">
        <v>540</v>
      </c>
    </row>
    <row r="451" spans="1:34" ht="21" hidden="1" x14ac:dyDescent="0.25">
      <c r="A451" s="11">
        <v>20</v>
      </c>
      <c r="B451" s="8" t="s">
        <v>30</v>
      </c>
      <c r="C451" s="7">
        <v>1493</v>
      </c>
      <c r="D451" s="8" t="s">
        <v>90</v>
      </c>
      <c r="E451" s="8" t="s">
        <v>150</v>
      </c>
      <c r="F451" s="8" t="s">
        <v>12</v>
      </c>
      <c r="G451" s="7">
        <v>50000</v>
      </c>
      <c r="H451" s="7">
        <v>40</v>
      </c>
      <c r="I451" s="7">
        <v>40</v>
      </c>
      <c r="J451" s="7">
        <v>15136.06</v>
      </c>
      <c r="K451" s="7">
        <v>11284.424279000001</v>
      </c>
      <c r="L451" s="7">
        <v>0</v>
      </c>
      <c r="M451" s="7">
        <v>25.45</v>
      </c>
      <c r="N451" s="7">
        <v>21.14</v>
      </c>
      <c r="O451" s="7">
        <v>333376.57</v>
      </c>
      <c r="P451" s="7">
        <v>259671.58194999999</v>
      </c>
      <c r="Q451" s="7">
        <v>0</v>
      </c>
      <c r="R451" s="7">
        <v>22.11</v>
      </c>
      <c r="S451" s="7">
        <v>21</v>
      </c>
      <c r="T451" s="7">
        <v>21</v>
      </c>
      <c r="U451" s="7">
        <v>21</v>
      </c>
      <c r="V451" s="7">
        <v>114</v>
      </c>
      <c r="W451" s="7">
        <v>7.75</v>
      </c>
      <c r="X451" s="7">
        <v>50000</v>
      </c>
      <c r="Y451" s="7">
        <v>0</v>
      </c>
      <c r="Z451" s="7">
        <v>0</v>
      </c>
      <c r="AA451" s="7">
        <v>27.14</v>
      </c>
      <c r="AB451" s="7">
        <v>2975</v>
      </c>
      <c r="AC451" s="7">
        <v>150000</v>
      </c>
      <c r="AD451" s="7">
        <v>150000</v>
      </c>
      <c r="AE451" s="7">
        <v>59351.44</v>
      </c>
      <c r="AF451" s="7">
        <v>120</v>
      </c>
      <c r="AG451" s="7">
        <v>61</v>
      </c>
      <c r="AH451" s="12">
        <v>120</v>
      </c>
    </row>
    <row r="452" spans="1:34" ht="21" hidden="1" x14ac:dyDescent="0.25">
      <c r="A452" s="11">
        <v>17</v>
      </c>
      <c r="B452" s="8" t="s">
        <v>16</v>
      </c>
      <c r="C452" s="7">
        <v>1497</v>
      </c>
      <c r="D452" s="8" t="s">
        <v>91</v>
      </c>
      <c r="E452" s="8" t="s">
        <v>150</v>
      </c>
      <c r="F452" s="8" t="s">
        <v>12</v>
      </c>
      <c r="G452" s="7">
        <v>80000</v>
      </c>
      <c r="H452" s="7">
        <v>36</v>
      </c>
      <c r="I452" s="7">
        <v>36</v>
      </c>
      <c r="J452" s="7">
        <v>67252.58</v>
      </c>
      <c r="K452" s="7">
        <v>48722.744515999999</v>
      </c>
      <c r="L452" s="7">
        <v>0</v>
      </c>
      <c r="M452" s="7">
        <v>27.55</v>
      </c>
      <c r="N452" s="7">
        <v>23.39</v>
      </c>
      <c r="O452" s="7">
        <v>366554.89</v>
      </c>
      <c r="P452" s="7">
        <v>265187.54963199998</v>
      </c>
      <c r="Q452" s="7">
        <v>0</v>
      </c>
      <c r="R452" s="7">
        <v>27.65</v>
      </c>
      <c r="S452" s="7">
        <v>32</v>
      </c>
      <c r="T452" s="7">
        <v>21</v>
      </c>
      <c r="U452" s="7">
        <v>21</v>
      </c>
      <c r="V452" s="7">
        <v>432</v>
      </c>
      <c r="W452" s="7">
        <v>19.82</v>
      </c>
      <c r="X452" s="7">
        <v>80000</v>
      </c>
      <c r="Y452" s="7">
        <v>0</v>
      </c>
      <c r="Z452" s="7">
        <v>0</v>
      </c>
      <c r="AA452" s="7">
        <v>26.11</v>
      </c>
      <c r="AB452" s="7">
        <v>2975</v>
      </c>
      <c r="AC452" s="7">
        <v>510000</v>
      </c>
      <c r="AD452" s="7">
        <v>510000</v>
      </c>
      <c r="AE452" s="7">
        <v>366554.89</v>
      </c>
      <c r="AF452" s="7">
        <v>280</v>
      </c>
      <c r="AG452" s="7">
        <v>192</v>
      </c>
      <c r="AH452" s="12">
        <v>280</v>
      </c>
    </row>
    <row r="453" spans="1:34" hidden="1" x14ac:dyDescent="0.25">
      <c r="A453" s="11">
        <v>2</v>
      </c>
      <c r="B453" s="8" t="s">
        <v>10</v>
      </c>
      <c r="C453" s="7">
        <v>1505</v>
      </c>
      <c r="D453" s="8" t="s">
        <v>93</v>
      </c>
      <c r="E453" s="8" t="s">
        <v>150</v>
      </c>
      <c r="F453" s="8" t="s">
        <v>12</v>
      </c>
      <c r="G453" s="7">
        <v>75000</v>
      </c>
      <c r="H453" s="7">
        <v>50</v>
      </c>
      <c r="I453" s="7">
        <v>50</v>
      </c>
      <c r="J453" s="7">
        <v>77636.11</v>
      </c>
      <c r="K453" s="7">
        <v>58006.225915000003</v>
      </c>
      <c r="L453" s="7">
        <v>0</v>
      </c>
      <c r="M453" s="7">
        <v>25.28</v>
      </c>
      <c r="N453" s="7">
        <v>20.29</v>
      </c>
      <c r="O453" s="7">
        <v>879806.8</v>
      </c>
      <c r="P453" s="7">
        <v>661206.86622500001</v>
      </c>
      <c r="Q453" s="7">
        <v>0</v>
      </c>
      <c r="R453" s="7">
        <v>24.85</v>
      </c>
      <c r="S453" s="7">
        <v>52</v>
      </c>
      <c r="T453" s="7">
        <v>21</v>
      </c>
      <c r="U453" s="7">
        <v>21</v>
      </c>
      <c r="V453" s="7">
        <v>479</v>
      </c>
      <c r="W453" s="7">
        <v>18.63</v>
      </c>
      <c r="X453" s="7">
        <v>75000</v>
      </c>
      <c r="Y453" s="7">
        <v>798.69</v>
      </c>
      <c r="Z453" s="7">
        <v>0</v>
      </c>
      <c r="AA453" s="7">
        <v>21.5</v>
      </c>
      <c r="AB453" s="7">
        <v>2975</v>
      </c>
      <c r="AC453" s="7">
        <v>1000000</v>
      </c>
      <c r="AD453" s="7">
        <v>1000000</v>
      </c>
      <c r="AE453" s="7">
        <v>881745.46</v>
      </c>
      <c r="AF453" s="7">
        <v>673</v>
      </c>
      <c r="AG453" s="7">
        <v>537</v>
      </c>
      <c r="AH453" s="12">
        <v>673</v>
      </c>
    </row>
    <row r="454" spans="1:34" ht="21" hidden="1" x14ac:dyDescent="0.25">
      <c r="A454" s="11">
        <v>4</v>
      </c>
      <c r="B454" s="8" t="s">
        <v>15</v>
      </c>
      <c r="C454" s="7">
        <v>1510</v>
      </c>
      <c r="D454" s="8" t="s">
        <v>121</v>
      </c>
      <c r="E454" s="8" t="s">
        <v>150</v>
      </c>
      <c r="F454" s="8" t="s">
        <v>12</v>
      </c>
      <c r="G454" s="7">
        <v>0</v>
      </c>
      <c r="H454" s="7">
        <v>0</v>
      </c>
      <c r="I454" s="7">
        <v>0</v>
      </c>
      <c r="J454" s="7">
        <v>1454.87</v>
      </c>
      <c r="K454" s="7">
        <v>1222.0758699999999</v>
      </c>
      <c r="L454" s="7">
        <v>0</v>
      </c>
      <c r="M454" s="7">
        <v>16</v>
      </c>
      <c r="N454" s="7">
        <v>1</v>
      </c>
      <c r="O454" s="7">
        <v>648535.30000000005</v>
      </c>
      <c r="P454" s="7">
        <v>472008.05384399998</v>
      </c>
      <c r="Q454" s="7">
        <v>0</v>
      </c>
      <c r="R454" s="7">
        <v>27.22</v>
      </c>
      <c r="S454" s="7">
        <v>1</v>
      </c>
      <c r="T454" s="7">
        <v>21</v>
      </c>
      <c r="U454" s="7">
        <v>21</v>
      </c>
      <c r="V454" s="7">
        <v>4</v>
      </c>
      <c r="W454" s="7">
        <v>3</v>
      </c>
      <c r="X454" s="7">
        <v>0</v>
      </c>
      <c r="Y454" s="7">
        <v>0</v>
      </c>
      <c r="Z454" s="7">
        <v>0</v>
      </c>
      <c r="AA454" s="7">
        <v>24.13</v>
      </c>
      <c r="AB454" s="7">
        <v>2975</v>
      </c>
      <c r="AC454" s="7">
        <v>639000</v>
      </c>
      <c r="AD454" s="7">
        <v>639000</v>
      </c>
      <c r="AE454" s="7">
        <v>648535.30000000005</v>
      </c>
      <c r="AF454" s="7">
        <v>423</v>
      </c>
      <c r="AG454" s="7">
        <v>372</v>
      </c>
      <c r="AH454" s="12">
        <v>423</v>
      </c>
    </row>
    <row r="455" spans="1:34" ht="21" hidden="1" x14ac:dyDescent="0.25">
      <c r="A455" s="11">
        <v>4</v>
      </c>
      <c r="B455" s="8" t="s">
        <v>15</v>
      </c>
      <c r="C455" s="7">
        <v>1522</v>
      </c>
      <c r="D455" s="8" t="s">
        <v>95</v>
      </c>
      <c r="E455" s="8" t="s">
        <v>150</v>
      </c>
      <c r="F455" s="8" t="s">
        <v>12</v>
      </c>
      <c r="G455" s="7">
        <v>50000</v>
      </c>
      <c r="H455" s="7">
        <v>1</v>
      </c>
      <c r="I455" s="7">
        <v>1</v>
      </c>
      <c r="J455" s="7">
        <v>23986.93</v>
      </c>
      <c r="K455" s="7">
        <v>17011.575916999998</v>
      </c>
      <c r="L455" s="7">
        <v>0</v>
      </c>
      <c r="M455" s="7">
        <v>29.08</v>
      </c>
      <c r="N455" s="7">
        <v>27.44</v>
      </c>
      <c r="O455" s="7">
        <v>648535.30000000005</v>
      </c>
      <c r="P455" s="7">
        <v>472008.05384399998</v>
      </c>
      <c r="Q455" s="7">
        <v>0</v>
      </c>
      <c r="R455" s="7">
        <v>27.22</v>
      </c>
      <c r="S455" s="7">
        <v>1</v>
      </c>
      <c r="T455" s="7">
        <v>21</v>
      </c>
      <c r="U455" s="7">
        <v>21</v>
      </c>
      <c r="V455" s="7">
        <v>68</v>
      </c>
      <c r="W455" s="7">
        <v>34</v>
      </c>
      <c r="X455" s="7">
        <v>50000</v>
      </c>
      <c r="Y455" s="7">
        <v>1288</v>
      </c>
      <c r="Z455" s="7">
        <v>0</v>
      </c>
      <c r="AA455" s="7">
        <v>24.13</v>
      </c>
      <c r="AB455" s="7">
        <v>2975</v>
      </c>
      <c r="AC455" s="7">
        <v>639000</v>
      </c>
      <c r="AD455" s="7">
        <v>639000</v>
      </c>
      <c r="AE455" s="7">
        <v>648535.30000000005</v>
      </c>
      <c r="AF455" s="7">
        <v>423</v>
      </c>
      <c r="AG455" s="7">
        <v>372</v>
      </c>
      <c r="AH455" s="12">
        <v>423</v>
      </c>
    </row>
    <row r="456" spans="1:34" ht="21" hidden="1" x14ac:dyDescent="0.25">
      <c r="A456" s="11">
        <v>26</v>
      </c>
      <c r="B456" s="8" t="s">
        <v>13</v>
      </c>
      <c r="C456" s="7">
        <v>1527</v>
      </c>
      <c r="D456" s="8" t="s">
        <v>42</v>
      </c>
      <c r="E456" s="8" t="s">
        <v>150</v>
      </c>
      <c r="F456" s="8" t="s">
        <v>12</v>
      </c>
      <c r="G456" s="7">
        <v>50000</v>
      </c>
      <c r="H456" s="7">
        <v>40</v>
      </c>
      <c r="I456" s="7">
        <v>40</v>
      </c>
      <c r="J456" s="7">
        <v>61350.64</v>
      </c>
      <c r="K456" s="7">
        <v>47418.226788</v>
      </c>
      <c r="L456" s="7">
        <v>0</v>
      </c>
      <c r="M456" s="7">
        <v>22.71</v>
      </c>
      <c r="N456" s="7">
        <v>24.64</v>
      </c>
      <c r="O456" s="7">
        <v>848979.92</v>
      </c>
      <c r="P456" s="7">
        <v>646957.69484799996</v>
      </c>
      <c r="Q456" s="7">
        <v>0</v>
      </c>
      <c r="R456" s="7">
        <v>23.8</v>
      </c>
      <c r="S456" s="7">
        <v>43</v>
      </c>
      <c r="T456" s="7">
        <v>21</v>
      </c>
      <c r="U456" s="7">
        <v>21</v>
      </c>
      <c r="V456" s="7">
        <v>309</v>
      </c>
      <c r="W456" s="7">
        <v>8.11</v>
      </c>
      <c r="X456" s="7">
        <v>50000</v>
      </c>
      <c r="Y456" s="7">
        <v>921.6</v>
      </c>
      <c r="Z456" s="7">
        <v>4</v>
      </c>
      <c r="AA456" s="7">
        <v>25.69</v>
      </c>
      <c r="AB456" s="7">
        <v>2975</v>
      </c>
      <c r="AC456" s="7">
        <v>895000</v>
      </c>
      <c r="AD456" s="7">
        <v>895000</v>
      </c>
      <c r="AE456" s="7">
        <v>939476.75</v>
      </c>
      <c r="AF456" s="7">
        <v>664</v>
      </c>
      <c r="AG456" s="7">
        <v>629</v>
      </c>
      <c r="AH456" s="12">
        <v>664</v>
      </c>
    </row>
    <row r="457" spans="1:34" ht="21" hidden="1" x14ac:dyDescent="0.25">
      <c r="A457" s="11">
        <v>26</v>
      </c>
      <c r="B457" s="8" t="s">
        <v>13</v>
      </c>
      <c r="C457" s="7">
        <v>1535</v>
      </c>
      <c r="D457" s="8" t="s">
        <v>97</v>
      </c>
      <c r="E457" s="8" t="s">
        <v>150</v>
      </c>
      <c r="F457" s="8" t="s">
        <v>12</v>
      </c>
      <c r="G457" s="7">
        <v>50000</v>
      </c>
      <c r="H457" s="7">
        <v>40</v>
      </c>
      <c r="I457" s="7">
        <v>40</v>
      </c>
      <c r="J457" s="7">
        <v>29146.19</v>
      </c>
      <c r="K457" s="7">
        <v>22644.514164</v>
      </c>
      <c r="L457" s="7">
        <v>0</v>
      </c>
      <c r="M457" s="7">
        <v>22.31</v>
      </c>
      <c r="N457" s="7">
        <v>22.78</v>
      </c>
      <c r="O457" s="7">
        <v>848979.92</v>
      </c>
      <c r="P457" s="7">
        <v>646957.69484799996</v>
      </c>
      <c r="Q457" s="7">
        <v>0</v>
      </c>
      <c r="R457" s="7">
        <v>23.8</v>
      </c>
      <c r="S457" s="7">
        <v>35</v>
      </c>
      <c r="T457" s="7">
        <v>21</v>
      </c>
      <c r="U457" s="7">
        <v>21</v>
      </c>
      <c r="V457" s="7">
        <v>199</v>
      </c>
      <c r="W457" s="7">
        <v>8.83</v>
      </c>
      <c r="X457" s="7">
        <v>50000</v>
      </c>
      <c r="Y457" s="7">
        <v>0</v>
      </c>
      <c r="Z457" s="7">
        <v>1</v>
      </c>
      <c r="AA457" s="7">
        <v>25.69</v>
      </c>
      <c r="AB457" s="7">
        <v>2975</v>
      </c>
      <c r="AC457" s="7">
        <v>895000</v>
      </c>
      <c r="AD457" s="7">
        <v>895000</v>
      </c>
      <c r="AE457" s="7">
        <v>939476.75</v>
      </c>
      <c r="AF457" s="7">
        <v>664</v>
      </c>
      <c r="AG457" s="7">
        <v>629</v>
      </c>
      <c r="AH457" s="12">
        <v>664</v>
      </c>
    </row>
    <row r="458" spans="1:34" hidden="1" x14ac:dyDescent="0.25">
      <c r="A458" s="11">
        <v>2</v>
      </c>
      <c r="B458" s="8" t="s">
        <v>10</v>
      </c>
      <c r="C458" s="7">
        <v>1553</v>
      </c>
      <c r="D458" s="8" t="s">
        <v>55</v>
      </c>
      <c r="E458" s="8" t="s">
        <v>150</v>
      </c>
      <c r="F458" s="8" t="s">
        <v>12</v>
      </c>
      <c r="G458" s="7">
        <v>0</v>
      </c>
      <c r="H458" s="7">
        <v>0</v>
      </c>
      <c r="I458" s="7">
        <v>0</v>
      </c>
      <c r="J458" s="7">
        <v>1938.66</v>
      </c>
      <c r="K458" s="7">
        <v>1448.2257360000001</v>
      </c>
      <c r="L458" s="7">
        <v>0</v>
      </c>
      <c r="M458" s="7">
        <v>25.3</v>
      </c>
      <c r="N458" s="7">
        <v>30</v>
      </c>
      <c r="O458" s="7">
        <v>879806.8</v>
      </c>
      <c r="P458" s="7">
        <v>661206.86622500001</v>
      </c>
      <c r="Q458" s="7">
        <v>0</v>
      </c>
      <c r="R458" s="7">
        <v>24.85</v>
      </c>
      <c r="S458" s="7">
        <v>1</v>
      </c>
      <c r="T458" s="7">
        <v>21</v>
      </c>
      <c r="U458" s="7">
        <v>21</v>
      </c>
      <c r="V458" s="7">
        <v>6</v>
      </c>
      <c r="W458" s="7">
        <v>6</v>
      </c>
      <c r="X458" s="7">
        <v>0</v>
      </c>
      <c r="Y458" s="7">
        <v>1091.5</v>
      </c>
      <c r="Z458" s="7">
        <v>2</v>
      </c>
      <c r="AA458" s="7">
        <v>21.5</v>
      </c>
      <c r="AB458" s="7">
        <v>2975</v>
      </c>
      <c r="AC458" s="7">
        <v>1000000</v>
      </c>
      <c r="AD458" s="7">
        <v>1000000</v>
      </c>
      <c r="AE458" s="7">
        <v>881745.46</v>
      </c>
      <c r="AF458" s="7">
        <v>673</v>
      </c>
      <c r="AG458" s="7">
        <v>537</v>
      </c>
      <c r="AH458" s="12">
        <v>673</v>
      </c>
    </row>
    <row r="459" spans="1:34" ht="21" hidden="1" x14ac:dyDescent="0.25">
      <c r="A459" s="11">
        <v>4</v>
      </c>
      <c r="B459" s="8" t="s">
        <v>15</v>
      </c>
      <c r="C459" s="7">
        <v>1557</v>
      </c>
      <c r="D459" s="8" t="s">
        <v>100</v>
      </c>
      <c r="E459" s="8" t="s">
        <v>150</v>
      </c>
      <c r="F459" s="8" t="s">
        <v>12</v>
      </c>
      <c r="G459" s="7">
        <v>110000</v>
      </c>
      <c r="H459" s="7">
        <v>78</v>
      </c>
      <c r="I459" s="7">
        <v>78</v>
      </c>
      <c r="J459" s="7">
        <v>94127.33</v>
      </c>
      <c r="K459" s="7">
        <v>67914.650167999993</v>
      </c>
      <c r="L459" s="7">
        <v>0</v>
      </c>
      <c r="M459" s="7">
        <v>27.85</v>
      </c>
      <c r="N459" s="7">
        <v>24.35</v>
      </c>
      <c r="O459" s="7">
        <v>648535.30000000005</v>
      </c>
      <c r="P459" s="7">
        <v>472008.05384399998</v>
      </c>
      <c r="Q459" s="7">
        <v>0</v>
      </c>
      <c r="R459" s="7">
        <v>27.22</v>
      </c>
      <c r="S459" s="7">
        <v>70</v>
      </c>
      <c r="T459" s="7">
        <v>21</v>
      </c>
      <c r="U459" s="7">
        <v>21</v>
      </c>
      <c r="V459" s="7">
        <v>491</v>
      </c>
      <c r="W459" s="7">
        <v>14.86</v>
      </c>
      <c r="X459" s="7">
        <v>110000</v>
      </c>
      <c r="Y459" s="7">
        <v>0</v>
      </c>
      <c r="Z459" s="7">
        <v>0</v>
      </c>
      <c r="AA459" s="7">
        <v>24.13</v>
      </c>
      <c r="AB459" s="7">
        <v>2975</v>
      </c>
      <c r="AC459" s="7">
        <v>639000</v>
      </c>
      <c r="AD459" s="7">
        <v>639000</v>
      </c>
      <c r="AE459" s="7">
        <v>648535.30000000005</v>
      </c>
      <c r="AF459" s="7">
        <v>423</v>
      </c>
      <c r="AG459" s="7">
        <v>372</v>
      </c>
      <c r="AH459" s="12">
        <v>423</v>
      </c>
    </row>
    <row r="460" spans="1:34" ht="21" hidden="1" x14ac:dyDescent="0.25">
      <c r="A460" s="11">
        <v>4</v>
      </c>
      <c r="B460" s="8" t="s">
        <v>15</v>
      </c>
      <c r="C460" s="7">
        <v>1558</v>
      </c>
      <c r="D460" s="8" t="s">
        <v>101</v>
      </c>
      <c r="E460" s="8" t="s">
        <v>150</v>
      </c>
      <c r="F460" s="8" t="s">
        <v>12</v>
      </c>
      <c r="G460" s="7">
        <v>80000</v>
      </c>
      <c r="H460" s="7">
        <v>65</v>
      </c>
      <c r="I460" s="7">
        <v>65</v>
      </c>
      <c r="J460" s="7">
        <v>94664.26</v>
      </c>
      <c r="K460" s="7">
        <v>67085.812546000001</v>
      </c>
      <c r="L460" s="7">
        <v>0</v>
      </c>
      <c r="M460" s="7">
        <v>29.13</v>
      </c>
      <c r="N460" s="7">
        <v>25.46</v>
      </c>
      <c r="O460" s="7">
        <v>648535.30000000005</v>
      </c>
      <c r="P460" s="7">
        <v>472008.05384399998</v>
      </c>
      <c r="Q460" s="7">
        <v>0</v>
      </c>
      <c r="R460" s="7">
        <v>27.22</v>
      </c>
      <c r="S460" s="7">
        <v>59</v>
      </c>
      <c r="T460" s="7">
        <v>21</v>
      </c>
      <c r="U460" s="7">
        <v>21</v>
      </c>
      <c r="V460" s="7">
        <v>474</v>
      </c>
      <c r="W460" s="7">
        <v>10.76</v>
      </c>
      <c r="X460" s="7">
        <v>80000</v>
      </c>
      <c r="Y460" s="7">
        <v>569.82000000000005</v>
      </c>
      <c r="Z460" s="7">
        <v>1</v>
      </c>
      <c r="AA460" s="7">
        <v>24.13</v>
      </c>
      <c r="AB460" s="7">
        <v>2975</v>
      </c>
      <c r="AC460" s="7">
        <v>639000</v>
      </c>
      <c r="AD460" s="7">
        <v>639000</v>
      </c>
      <c r="AE460" s="7">
        <v>648535.30000000005</v>
      </c>
      <c r="AF460" s="7">
        <v>423</v>
      </c>
      <c r="AG460" s="7">
        <v>372</v>
      </c>
      <c r="AH460" s="12">
        <v>423</v>
      </c>
    </row>
    <row r="461" spans="1:34" ht="21" hidden="1" x14ac:dyDescent="0.25">
      <c r="A461" s="11">
        <v>26</v>
      </c>
      <c r="B461" s="8" t="s">
        <v>13</v>
      </c>
      <c r="C461" s="7">
        <v>1565</v>
      </c>
      <c r="D461" s="8" t="s">
        <v>129</v>
      </c>
      <c r="E461" s="8" t="s">
        <v>150</v>
      </c>
      <c r="F461" s="8" t="s">
        <v>12</v>
      </c>
      <c r="G461" s="7">
        <v>40000</v>
      </c>
      <c r="H461" s="7">
        <v>1</v>
      </c>
      <c r="I461" s="7">
        <v>1</v>
      </c>
      <c r="J461" s="7">
        <v>25237.53</v>
      </c>
      <c r="K461" s="7">
        <v>19083.825102999999</v>
      </c>
      <c r="L461" s="7">
        <v>0</v>
      </c>
      <c r="M461" s="7">
        <v>24.38</v>
      </c>
      <c r="N461" s="7">
        <v>48.26</v>
      </c>
      <c r="O461" s="7">
        <v>848979.92</v>
      </c>
      <c r="P461" s="7">
        <v>646957.69484799996</v>
      </c>
      <c r="Q461" s="7">
        <v>0</v>
      </c>
      <c r="R461" s="7">
        <v>23.8</v>
      </c>
      <c r="S461" s="7">
        <v>2</v>
      </c>
      <c r="T461" s="7">
        <v>21</v>
      </c>
      <c r="U461" s="7">
        <v>21</v>
      </c>
      <c r="V461" s="7">
        <v>78</v>
      </c>
      <c r="W461" s="7">
        <v>13.63</v>
      </c>
      <c r="X461" s="7">
        <v>40000</v>
      </c>
      <c r="Y461" s="7">
        <v>1061.6400000000001</v>
      </c>
      <c r="Z461" s="7">
        <v>0</v>
      </c>
      <c r="AA461" s="7">
        <v>25.69</v>
      </c>
      <c r="AB461" s="7">
        <v>2975</v>
      </c>
      <c r="AC461" s="7">
        <v>895000</v>
      </c>
      <c r="AD461" s="7">
        <v>895000</v>
      </c>
      <c r="AE461" s="7">
        <v>939476.75</v>
      </c>
      <c r="AF461" s="7">
        <v>664</v>
      </c>
      <c r="AG461" s="7">
        <v>629</v>
      </c>
      <c r="AH461" s="12">
        <v>664</v>
      </c>
    </row>
    <row r="462" spans="1:34" ht="21" hidden="1" x14ac:dyDescent="0.25">
      <c r="A462" s="11">
        <v>12</v>
      </c>
      <c r="B462" s="8" t="s">
        <v>14</v>
      </c>
      <c r="C462" s="7">
        <v>1582</v>
      </c>
      <c r="D462" s="8" t="s">
        <v>111</v>
      </c>
      <c r="E462" s="8" t="s">
        <v>150</v>
      </c>
      <c r="F462" s="8" t="s">
        <v>12</v>
      </c>
      <c r="G462" s="7">
        <v>46000</v>
      </c>
      <c r="H462" s="7">
        <v>60</v>
      </c>
      <c r="I462" s="7">
        <v>60</v>
      </c>
      <c r="J462" s="7">
        <v>50668.25</v>
      </c>
      <c r="K462" s="7">
        <v>38568.698901000003</v>
      </c>
      <c r="L462" s="7">
        <v>0</v>
      </c>
      <c r="M462" s="7">
        <v>23.88</v>
      </c>
      <c r="N462" s="7">
        <v>19.22</v>
      </c>
      <c r="O462" s="7">
        <v>317813.88</v>
      </c>
      <c r="P462" s="7">
        <v>244628.84228700001</v>
      </c>
      <c r="Q462" s="7">
        <v>0</v>
      </c>
      <c r="R462" s="7">
        <v>23.03</v>
      </c>
      <c r="S462" s="7">
        <v>64</v>
      </c>
      <c r="T462" s="7">
        <v>21</v>
      </c>
      <c r="U462" s="7">
        <v>21</v>
      </c>
      <c r="V462" s="7">
        <v>310</v>
      </c>
      <c r="W462" s="7">
        <v>9.39</v>
      </c>
      <c r="X462" s="7">
        <v>46000</v>
      </c>
      <c r="Y462" s="7">
        <v>887.76</v>
      </c>
      <c r="Z462" s="7">
        <v>0</v>
      </c>
      <c r="AA462" s="7">
        <v>16.41</v>
      </c>
      <c r="AB462" s="7">
        <v>2975</v>
      </c>
      <c r="AC462" s="7">
        <v>634000</v>
      </c>
      <c r="AD462" s="7">
        <v>634000</v>
      </c>
      <c r="AE462" s="7">
        <v>317813.88</v>
      </c>
      <c r="AF462" s="7">
        <v>715</v>
      </c>
      <c r="AG462" s="7">
        <v>467</v>
      </c>
      <c r="AH462" s="12">
        <v>715</v>
      </c>
    </row>
    <row r="463" spans="1:34" ht="21" hidden="1" x14ac:dyDescent="0.25">
      <c r="A463" s="11">
        <v>6</v>
      </c>
      <c r="B463" s="8" t="s">
        <v>142</v>
      </c>
      <c r="C463" s="7">
        <v>1585</v>
      </c>
      <c r="D463" s="8" t="s">
        <v>90</v>
      </c>
      <c r="E463" s="8" t="s">
        <v>150</v>
      </c>
      <c r="F463" s="8" t="s">
        <v>12</v>
      </c>
      <c r="G463" s="7">
        <v>40000</v>
      </c>
      <c r="H463" s="7">
        <v>45</v>
      </c>
      <c r="I463" s="7">
        <v>45</v>
      </c>
      <c r="J463" s="7">
        <v>28830.21</v>
      </c>
      <c r="K463" s="7">
        <v>21229.190524000001</v>
      </c>
      <c r="L463" s="7">
        <v>0</v>
      </c>
      <c r="M463" s="7">
        <v>26.36</v>
      </c>
      <c r="N463" s="7">
        <v>17.48</v>
      </c>
      <c r="O463" s="7">
        <v>677557.13</v>
      </c>
      <c r="P463" s="7">
        <v>511766.357211</v>
      </c>
      <c r="Q463" s="7">
        <v>0</v>
      </c>
      <c r="R463" s="7">
        <v>24.47</v>
      </c>
      <c r="S463" s="7">
        <v>39</v>
      </c>
      <c r="T463" s="7">
        <v>21</v>
      </c>
      <c r="U463" s="7">
        <v>21</v>
      </c>
      <c r="V463" s="7">
        <v>242</v>
      </c>
      <c r="W463" s="7">
        <v>9.8800000000000008</v>
      </c>
      <c r="X463" s="7">
        <v>40000</v>
      </c>
      <c r="Y463" s="7">
        <v>1355.7</v>
      </c>
      <c r="Z463" s="7">
        <v>2</v>
      </c>
      <c r="AA463" s="7">
        <v>18.489999999999998</v>
      </c>
      <c r="AB463" s="7">
        <v>2975</v>
      </c>
      <c r="AC463" s="7">
        <v>995000</v>
      </c>
      <c r="AD463" s="7">
        <v>995000</v>
      </c>
      <c r="AE463" s="7">
        <v>758102.34</v>
      </c>
      <c r="AF463" s="7">
        <v>860</v>
      </c>
      <c r="AG463" s="7">
        <v>634</v>
      </c>
      <c r="AH463" s="12">
        <v>860</v>
      </c>
    </row>
    <row r="464" spans="1:34" ht="21" hidden="1" x14ac:dyDescent="0.25">
      <c r="A464" s="11">
        <v>20</v>
      </c>
      <c r="B464" s="8" t="s">
        <v>30</v>
      </c>
      <c r="C464" s="7">
        <v>1590</v>
      </c>
      <c r="D464" s="8" t="s">
        <v>82</v>
      </c>
      <c r="E464" s="8" t="s">
        <v>150</v>
      </c>
      <c r="F464" s="8" t="s">
        <v>12</v>
      </c>
      <c r="G464" s="7">
        <v>0</v>
      </c>
      <c r="H464" s="7">
        <v>0</v>
      </c>
      <c r="I464" s="7">
        <v>0</v>
      </c>
      <c r="J464" s="7">
        <v>7377.98</v>
      </c>
      <c r="K464" s="7">
        <v>6082.6246039999996</v>
      </c>
      <c r="L464" s="7">
        <v>0</v>
      </c>
      <c r="M464" s="7">
        <v>17.559999999999999</v>
      </c>
      <c r="N464" s="7">
        <v>24.36</v>
      </c>
      <c r="O464" s="7">
        <v>333376.57</v>
      </c>
      <c r="P464" s="7">
        <v>259671.58194999999</v>
      </c>
      <c r="Q464" s="7">
        <v>0</v>
      </c>
      <c r="R464" s="7">
        <v>22.11</v>
      </c>
      <c r="S464" s="7">
        <v>6</v>
      </c>
      <c r="T464" s="7">
        <v>21</v>
      </c>
      <c r="U464" s="7">
        <v>21</v>
      </c>
      <c r="V464" s="7">
        <v>64</v>
      </c>
      <c r="W464" s="7">
        <v>5.15</v>
      </c>
      <c r="X464" s="7">
        <v>0</v>
      </c>
      <c r="Y464" s="7">
        <v>0</v>
      </c>
      <c r="Z464" s="7">
        <v>0</v>
      </c>
      <c r="AA464" s="7">
        <v>27.14</v>
      </c>
      <c r="AB464" s="7">
        <v>2975</v>
      </c>
      <c r="AC464" s="7">
        <v>150000</v>
      </c>
      <c r="AD464" s="7">
        <v>150000</v>
      </c>
      <c r="AE464" s="7">
        <v>59351.44</v>
      </c>
      <c r="AF464" s="7">
        <v>120</v>
      </c>
      <c r="AG464" s="7">
        <v>61</v>
      </c>
      <c r="AH464" s="12">
        <v>120</v>
      </c>
    </row>
    <row r="465" spans="1:34" ht="21" hidden="1" x14ac:dyDescent="0.25">
      <c r="A465" s="11">
        <v>10</v>
      </c>
      <c r="B465" s="8" t="s">
        <v>180</v>
      </c>
      <c r="C465" s="7">
        <v>1591</v>
      </c>
      <c r="D465" s="8" t="s">
        <v>115</v>
      </c>
      <c r="E465" s="8" t="s">
        <v>150</v>
      </c>
      <c r="F465" s="8" t="s">
        <v>12</v>
      </c>
      <c r="G465" s="7">
        <v>65000</v>
      </c>
      <c r="H465" s="7">
        <v>50</v>
      </c>
      <c r="I465" s="7">
        <v>50</v>
      </c>
      <c r="J465" s="7">
        <v>50946.48</v>
      </c>
      <c r="K465" s="7">
        <v>39529.603964000002</v>
      </c>
      <c r="L465" s="7">
        <v>0</v>
      </c>
      <c r="M465" s="7">
        <v>22.41</v>
      </c>
      <c r="N465" s="7">
        <v>20.079999999999998</v>
      </c>
      <c r="O465" s="7">
        <v>609402.81000000006</v>
      </c>
      <c r="P465" s="7">
        <v>466447.92965499999</v>
      </c>
      <c r="Q465" s="7">
        <v>0</v>
      </c>
      <c r="R465" s="7">
        <v>23.46</v>
      </c>
      <c r="S465" s="7">
        <v>58</v>
      </c>
      <c r="T465" s="7">
        <v>21</v>
      </c>
      <c r="U465" s="7">
        <v>21</v>
      </c>
      <c r="V465" s="7">
        <v>437</v>
      </c>
      <c r="W465" s="7">
        <v>12.65</v>
      </c>
      <c r="X465" s="7">
        <v>65000</v>
      </c>
      <c r="Y465" s="7">
        <v>1053.71</v>
      </c>
      <c r="Z465" s="7">
        <v>1</v>
      </c>
      <c r="AA465" s="7">
        <v>22.93</v>
      </c>
      <c r="AB465" s="7">
        <v>2975</v>
      </c>
      <c r="AC465" s="7">
        <v>690000</v>
      </c>
      <c r="AD465" s="7">
        <v>690000</v>
      </c>
      <c r="AE465" s="7">
        <v>609402.81000000006</v>
      </c>
      <c r="AF465" s="7">
        <v>540</v>
      </c>
      <c r="AG465" s="7">
        <v>502</v>
      </c>
      <c r="AH465" s="12">
        <v>540</v>
      </c>
    </row>
    <row r="466" spans="1:34" ht="21" x14ac:dyDescent="0.25">
      <c r="A466" s="11">
        <v>5</v>
      </c>
      <c r="B466" s="8" t="s">
        <v>143</v>
      </c>
      <c r="C466" s="7">
        <v>1593</v>
      </c>
      <c r="D466" s="8" t="s">
        <v>122</v>
      </c>
      <c r="E466" s="8" t="s">
        <v>150</v>
      </c>
      <c r="F466" s="8" t="s">
        <v>12</v>
      </c>
      <c r="G466" s="7">
        <v>115000</v>
      </c>
      <c r="H466" s="7">
        <v>50</v>
      </c>
      <c r="I466" s="7">
        <v>50</v>
      </c>
      <c r="J466" s="7">
        <v>121369.57</v>
      </c>
      <c r="K466" s="7">
        <v>93797.002737000003</v>
      </c>
      <c r="L466" s="7">
        <v>0</v>
      </c>
      <c r="M466" s="7">
        <v>22.72</v>
      </c>
      <c r="N466" s="7">
        <v>30.45</v>
      </c>
      <c r="O466" s="7">
        <v>371495.64</v>
      </c>
      <c r="P466" s="7">
        <v>286140.14858500002</v>
      </c>
      <c r="Q466" s="7">
        <v>0</v>
      </c>
      <c r="R466" s="7">
        <v>22.98</v>
      </c>
      <c r="S466" s="7">
        <v>52</v>
      </c>
      <c r="T466" s="7">
        <v>21</v>
      </c>
      <c r="U466" s="7">
        <v>21</v>
      </c>
      <c r="V466" s="7">
        <v>422</v>
      </c>
      <c r="W466" s="7">
        <v>10.06</v>
      </c>
      <c r="X466" s="7">
        <v>115000</v>
      </c>
      <c r="Y466" s="7">
        <v>2673.08</v>
      </c>
      <c r="Z466" s="7">
        <v>0</v>
      </c>
      <c r="AA466" s="7">
        <v>35.86</v>
      </c>
      <c r="AB466" s="7">
        <v>2975</v>
      </c>
      <c r="AC466" s="7">
        <v>332000</v>
      </c>
      <c r="AD466" s="7">
        <v>332000</v>
      </c>
      <c r="AE466" s="7">
        <v>371495.64</v>
      </c>
      <c r="AF466" s="7">
        <v>100</v>
      </c>
      <c r="AG466" s="7">
        <v>104</v>
      </c>
      <c r="AH466" s="12">
        <v>100</v>
      </c>
    </row>
    <row r="467" spans="1:34" ht="21" hidden="1" x14ac:dyDescent="0.25">
      <c r="A467" s="11">
        <v>12</v>
      </c>
      <c r="B467" s="8" t="s">
        <v>14</v>
      </c>
      <c r="C467" s="7">
        <v>1594</v>
      </c>
      <c r="D467" s="8" t="s">
        <v>123</v>
      </c>
      <c r="E467" s="8" t="s">
        <v>150</v>
      </c>
      <c r="F467" s="8" t="s">
        <v>12</v>
      </c>
      <c r="G467" s="7">
        <v>46000</v>
      </c>
      <c r="H467" s="7">
        <v>60</v>
      </c>
      <c r="I467" s="7">
        <v>60</v>
      </c>
      <c r="J467" s="7">
        <v>31126.1</v>
      </c>
      <c r="K467" s="7">
        <v>23604.328806000001</v>
      </c>
      <c r="L467" s="7">
        <v>0</v>
      </c>
      <c r="M467" s="7">
        <v>24.17</v>
      </c>
      <c r="N467" s="7">
        <v>15.88</v>
      </c>
      <c r="O467" s="7">
        <v>317813.88</v>
      </c>
      <c r="P467" s="7">
        <v>244628.84228700001</v>
      </c>
      <c r="Q467" s="7">
        <v>0</v>
      </c>
      <c r="R467" s="7">
        <v>23.03</v>
      </c>
      <c r="S467" s="7">
        <v>47</v>
      </c>
      <c r="T467" s="7">
        <v>21</v>
      </c>
      <c r="U467" s="7">
        <v>21</v>
      </c>
      <c r="V467" s="7">
        <v>208</v>
      </c>
      <c r="W467" s="7">
        <v>7.57</v>
      </c>
      <c r="X467" s="7">
        <v>46000</v>
      </c>
      <c r="Y467" s="7">
        <v>891.84</v>
      </c>
      <c r="Z467" s="7">
        <v>0</v>
      </c>
      <c r="AA467" s="7">
        <v>16.41</v>
      </c>
      <c r="AB467" s="7">
        <v>2975</v>
      </c>
      <c r="AC467" s="7">
        <v>634000</v>
      </c>
      <c r="AD467" s="7">
        <v>634000</v>
      </c>
      <c r="AE467" s="7">
        <v>317813.88</v>
      </c>
      <c r="AF467" s="7">
        <v>715</v>
      </c>
      <c r="AG467" s="7">
        <v>467</v>
      </c>
      <c r="AH467" s="12">
        <v>715</v>
      </c>
    </row>
    <row r="468" spans="1:34" ht="21" hidden="1" x14ac:dyDescent="0.25">
      <c r="A468" s="11">
        <v>20</v>
      </c>
      <c r="B468" s="8" t="s">
        <v>30</v>
      </c>
      <c r="C468" s="7">
        <v>1599</v>
      </c>
      <c r="D468" s="8" t="s">
        <v>126</v>
      </c>
      <c r="E468" s="8" t="s">
        <v>150</v>
      </c>
      <c r="F468" s="8" t="s">
        <v>12</v>
      </c>
      <c r="G468" s="7">
        <v>50000</v>
      </c>
      <c r="H468" s="7">
        <v>40</v>
      </c>
      <c r="I468" s="7">
        <v>40</v>
      </c>
      <c r="J468" s="7">
        <v>28384.97</v>
      </c>
      <c r="K468" s="7">
        <v>22138.165315999999</v>
      </c>
      <c r="L468" s="7">
        <v>0</v>
      </c>
      <c r="M468" s="7">
        <v>22.01</v>
      </c>
      <c r="N468" s="7">
        <v>35.869999999999997</v>
      </c>
      <c r="O468" s="7">
        <v>333376.57</v>
      </c>
      <c r="P468" s="7">
        <v>259671.58194999999</v>
      </c>
      <c r="Q468" s="7">
        <v>0</v>
      </c>
      <c r="R468" s="7">
        <v>22.11</v>
      </c>
      <c r="S468" s="7">
        <v>26</v>
      </c>
      <c r="T468" s="7">
        <v>21</v>
      </c>
      <c r="U468" s="7">
        <v>21</v>
      </c>
      <c r="V468" s="7">
        <v>145</v>
      </c>
      <c r="W468" s="7">
        <v>5.81</v>
      </c>
      <c r="X468" s="7">
        <v>50000</v>
      </c>
      <c r="Y468" s="7">
        <v>0</v>
      </c>
      <c r="Z468" s="7">
        <v>2</v>
      </c>
      <c r="AA468" s="7">
        <v>27.14</v>
      </c>
      <c r="AB468" s="7">
        <v>2975</v>
      </c>
      <c r="AC468" s="7">
        <v>150000</v>
      </c>
      <c r="AD468" s="7">
        <v>150000</v>
      </c>
      <c r="AE468" s="7">
        <v>59351.44</v>
      </c>
      <c r="AF468" s="7">
        <v>120</v>
      </c>
      <c r="AG468" s="7">
        <v>61</v>
      </c>
      <c r="AH468" s="12">
        <v>120</v>
      </c>
    </row>
    <row r="469" spans="1:34" ht="21" hidden="1" x14ac:dyDescent="0.25">
      <c r="A469" s="11">
        <v>6</v>
      </c>
      <c r="B469" s="8" t="s">
        <v>142</v>
      </c>
      <c r="C469" s="7">
        <v>1602</v>
      </c>
      <c r="D469" s="8" t="s">
        <v>131</v>
      </c>
      <c r="E469" s="8" t="s">
        <v>150</v>
      </c>
      <c r="F469" s="8" t="s">
        <v>12</v>
      </c>
      <c r="G469" s="7">
        <v>50000</v>
      </c>
      <c r="H469" s="7">
        <v>40</v>
      </c>
      <c r="I469" s="7">
        <v>40</v>
      </c>
      <c r="J469" s="7">
        <v>30274.41</v>
      </c>
      <c r="K469" s="7">
        <v>24895.700202</v>
      </c>
      <c r="L469" s="7">
        <v>0</v>
      </c>
      <c r="M469" s="7">
        <v>17.77</v>
      </c>
      <c r="N469" s="7">
        <v>36.19</v>
      </c>
      <c r="O469" s="7">
        <v>677557.13</v>
      </c>
      <c r="P469" s="7">
        <v>511766.357211</v>
      </c>
      <c r="Q469" s="7">
        <v>0</v>
      </c>
      <c r="R469" s="7">
        <v>24.47</v>
      </c>
      <c r="S469" s="7">
        <v>18</v>
      </c>
      <c r="T469" s="7">
        <v>21</v>
      </c>
      <c r="U469" s="7">
        <v>21</v>
      </c>
      <c r="V469" s="7">
        <v>56</v>
      </c>
      <c r="W469" s="7">
        <v>4.0599999999999996</v>
      </c>
      <c r="X469" s="7">
        <v>50000</v>
      </c>
      <c r="Y469" s="7">
        <v>190.72</v>
      </c>
      <c r="Z469" s="7">
        <v>3</v>
      </c>
      <c r="AA469" s="7">
        <v>18.489999999999998</v>
      </c>
      <c r="AB469" s="7">
        <v>2975</v>
      </c>
      <c r="AC469" s="7">
        <v>995000</v>
      </c>
      <c r="AD469" s="7">
        <v>995000</v>
      </c>
      <c r="AE469" s="7">
        <v>758102.34</v>
      </c>
      <c r="AF469" s="7">
        <v>860</v>
      </c>
      <c r="AG469" s="7">
        <v>634</v>
      </c>
      <c r="AH469" s="12">
        <v>860</v>
      </c>
    </row>
    <row r="470" spans="1:34" ht="21" hidden="1" x14ac:dyDescent="0.25">
      <c r="A470" s="11">
        <v>10</v>
      </c>
      <c r="B470" s="8" t="s">
        <v>180</v>
      </c>
      <c r="C470" s="7">
        <v>1605</v>
      </c>
      <c r="D470" s="8" t="s">
        <v>133</v>
      </c>
      <c r="E470" s="8" t="s">
        <v>150</v>
      </c>
      <c r="F470" s="8" t="s">
        <v>12</v>
      </c>
      <c r="G470" s="7">
        <v>100000</v>
      </c>
      <c r="H470" s="7">
        <v>65</v>
      </c>
      <c r="I470" s="7">
        <v>65</v>
      </c>
      <c r="J470" s="7">
        <v>122450.74</v>
      </c>
      <c r="K470" s="7">
        <v>95419.459143</v>
      </c>
      <c r="L470" s="7">
        <v>0</v>
      </c>
      <c r="M470" s="7">
        <v>22.08</v>
      </c>
      <c r="N470" s="7">
        <v>36.53</v>
      </c>
      <c r="O470" s="7">
        <v>609402.81000000006</v>
      </c>
      <c r="P470" s="7">
        <v>466447.92965499999</v>
      </c>
      <c r="Q470" s="7">
        <v>0</v>
      </c>
      <c r="R470" s="7">
        <v>23.46</v>
      </c>
      <c r="S470" s="7">
        <v>50</v>
      </c>
      <c r="T470" s="7">
        <v>21</v>
      </c>
      <c r="U470" s="7">
        <v>21</v>
      </c>
      <c r="V470" s="7">
        <v>294</v>
      </c>
      <c r="W470" s="7">
        <v>10.16</v>
      </c>
      <c r="X470" s="7">
        <v>100000</v>
      </c>
      <c r="Y470" s="7">
        <v>87.98</v>
      </c>
      <c r="Z470" s="7">
        <v>1</v>
      </c>
      <c r="AA470" s="7">
        <v>22.93</v>
      </c>
      <c r="AB470" s="7">
        <v>2975</v>
      </c>
      <c r="AC470" s="7">
        <v>690000</v>
      </c>
      <c r="AD470" s="7">
        <v>690000</v>
      </c>
      <c r="AE470" s="7">
        <v>609402.81000000006</v>
      </c>
      <c r="AF470" s="7">
        <v>540</v>
      </c>
      <c r="AG470" s="7">
        <v>502</v>
      </c>
      <c r="AH470" s="12">
        <v>540</v>
      </c>
    </row>
    <row r="471" spans="1:34" ht="21" hidden="1" x14ac:dyDescent="0.25">
      <c r="A471" s="11">
        <v>17</v>
      </c>
      <c r="B471" s="8" t="s">
        <v>16</v>
      </c>
      <c r="C471" s="7">
        <v>1608</v>
      </c>
      <c r="D471" s="8" t="s">
        <v>146</v>
      </c>
      <c r="E471" s="8" t="s">
        <v>150</v>
      </c>
      <c r="F471" s="8" t="s">
        <v>12</v>
      </c>
      <c r="G471" s="7">
        <v>95000</v>
      </c>
      <c r="H471" s="7">
        <v>54</v>
      </c>
      <c r="I471" s="7">
        <v>54</v>
      </c>
      <c r="J471" s="7">
        <v>46090.05</v>
      </c>
      <c r="K471" s="7">
        <v>33305.030747999997</v>
      </c>
      <c r="L471" s="7">
        <v>0</v>
      </c>
      <c r="M471" s="7">
        <v>27.74</v>
      </c>
      <c r="N471" s="7">
        <v>21.81</v>
      </c>
      <c r="O471" s="7">
        <v>366554.89</v>
      </c>
      <c r="P471" s="7">
        <v>265187.54963199998</v>
      </c>
      <c r="Q471" s="7">
        <v>0</v>
      </c>
      <c r="R471" s="7">
        <v>27.65</v>
      </c>
      <c r="S471" s="7">
        <v>36</v>
      </c>
      <c r="T471" s="7">
        <v>21</v>
      </c>
      <c r="U471" s="7">
        <v>21</v>
      </c>
      <c r="V471" s="7">
        <v>265</v>
      </c>
      <c r="W471" s="7">
        <v>12</v>
      </c>
      <c r="X471" s="7">
        <v>95000</v>
      </c>
      <c r="Y471" s="7">
        <v>3700.52</v>
      </c>
      <c r="Z471" s="7">
        <v>2</v>
      </c>
      <c r="AA471" s="7">
        <v>26.11</v>
      </c>
      <c r="AB471" s="7">
        <v>2975</v>
      </c>
      <c r="AC471" s="7">
        <v>510000</v>
      </c>
      <c r="AD471" s="7">
        <v>510000</v>
      </c>
      <c r="AE471" s="7">
        <v>366554.89</v>
      </c>
      <c r="AF471" s="7">
        <v>280</v>
      </c>
      <c r="AG471" s="7">
        <v>192</v>
      </c>
      <c r="AH471" s="12">
        <v>280</v>
      </c>
    </row>
    <row r="472" spans="1:34" ht="21" hidden="1" x14ac:dyDescent="0.25">
      <c r="A472" s="11">
        <v>12</v>
      </c>
      <c r="B472" s="8" t="s">
        <v>14</v>
      </c>
      <c r="C472" s="7">
        <v>1609</v>
      </c>
      <c r="D472" s="8" t="s">
        <v>147</v>
      </c>
      <c r="E472" s="8" t="s">
        <v>150</v>
      </c>
      <c r="F472" s="8" t="s">
        <v>12</v>
      </c>
      <c r="G472" s="7">
        <v>55000</v>
      </c>
      <c r="H472" s="7">
        <v>60</v>
      </c>
      <c r="I472" s="7">
        <v>60</v>
      </c>
      <c r="J472" s="7">
        <v>26103.59</v>
      </c>
      <c r="K472" s="7">
        <v>19877.644016999999</v>
      </c>
      <c r="L472" s="7">
        <v>0</v>
      </c>
      <c r="M472" s="7">
        <v>23.85</v>
      </c>
      <c r="N472" s="7">
        <v>8.75</v>
      </c>
      <c r="O472" s="7">
        <v>317813.88</v>
      </c>
      <c r="P472" s="7">
        <v>244628.84228700001</v>
      </c>
      <c r="Q472" s="7">
        <v>0</v>
      </c>
      <c r="R472" s="7">
        <v>23.03</v>
      </c>
      <c r="S472" s="7">
        <v>46</v>
      </c>
      <c r="T472" s="7">
        <v>21</v>
      </c>
      <c r="U472" s="7">
        <v>21</v>
      </c>
      <c r="V472" s="7">
        <v>160</v>
      </c>
      <c r="W472" s="7">
        <v>6.53</v>
      </c>
      <c r="X472" s="7">
        <v>55000</v>
      </c>
      <c r="Y472" s="7">
        <v>231.2</v>
      </c>
      <c r="Z472" s="7">
        <v>0</v>
      </c>
      <c r="AA472" s="7">
        <v>16.41</v>
      </c>
      <c r="AB472" s="7">
        <v>2975</v>
      </c>
      <c r="AC472" s="7">
        <v>634000</v>
      </c>
      <c r="AD472" s="7">
        <v>634000</v>
      </c>
      <c r="AE472" s="7">
        <v>317813.88</v>
      </c>
      <c r="AF472" s="7">
        <v>715</v>
      </c>
      <c r="AG472" s="7">
        <v>467</v>
      </c>
      <c r="AH472" s="12">
        <v>715</v>
      </c>
    </row>
    <row r="473" spans="1:34" ht="21" hidden="1" x14ac:dyDescent="0.25">
      <c r="A473" s="11">
        <v>12</v>
      </c>
      <c r="B473" s="8" t="s">
        <v>14</v>
      </c>
      <c r="C473" s="7">
        <v>1610</v>
      </c>
      <c r="D473" s="8" t="s">
        <v>148</v>
      </c>
      <c r="E473" s="8" t="s">
        <v>150</v>
      </c>
      <c r="F473" s="8" t="s">
        <v>12</v>
      </c>
      <c r="G473" s="7">
        <v>46000</v>
      </c>
      <c r="H473" s="7">
        <v>55</v>
      </c>
      <c r="I473" s="7">
        <v>55</v>
      </c>
      <c r="J473" s="7">
        <v>18015.099999999999</v>
      </c>
      <c r="K473" s="7">
        <v>13769.105782000001</v>
      </c>
      <c r="L473" s="7">
        <v>0</v>
      </c>
      <c r="M473" s="7">
        <v>23.57</v>
      </c>
      <c r="N473" s="7">
        <v>13.11</v>
      </c>
      <c r="O473" s="7">
        <v>317813.88</v>
      </c>
      <c r="P473" s="7">
        <v>244628.84228700001</v>
      </c>
      <c r="Q473" s="7">
        <v>0</v>
      </c>
      <c r="R473" s="7">
        <v>23.03</v>
      </c>
      <c r="S473" s="7">
        <v>32</v>
      </c>
      <c r="T473" s="7">
        <v>21</v>
      </c>
      <c r="U473" s="7">
        <v>21</v>
      </c>
      <c r="V473" s="7">
        <v>116</v>
      </c>
      <c r="W473" s="7">
        <v>5.51</v>
      </c>
      <c r="X473" s="7">
        <v>46000</v>
      </c>
      <c r="Y473" s="7">
        <v>73.8</v>
      </c>
      <c r="Z473" s="7">
        <v>4</v>
      </c>
      <c r="AA473" s="7">
        <v>16.41</v>
      </c>
      <c r="AB473" s="7">
        <v>2975</v>
      </c>
      <c r="AC473" s="7">
        <v>634000</v>
      </c>
      <c r="AD473" s="7">
        <v>634000</v>
      </c>
      <c r="AE473" s="7">
        <v>317813.88</v>
      </c>
      <c r="AF473" s="7">
        <v>715</v>
      </c>
      <c r="AG473" s="7">
        <v>467</v>
      </c>
      <c r="AH473" s="12">
        <v>715</v>
      </c>
    </row>
    <row r="474" spans="1:34" ht="21" hidden="1" x14ac:dyDescent="0.25">
      <c r="A474" s="11">
        <v>10</v>
      </c>
      <c r="B474" s="8" t="s">
        <v>180</v>
      </c>
      <c r="C474" s="7">
        <v>1611</v>
      </c>
      <c r="D474" s="8" t="s">
        <v>149</v>
      </c>
      <c r="E474" s="8" t="s">
        <v>150</v>
      </c>
      <c r="F474" s="8" t="s">
        <v>12</v>
      </c>
      <c r="G474" s="7">
        <v>90000</v>
      </c>
      <c r="H474" s="7">
        <v>60</v>
      </c>
      <c r="I474" s="7">
        <v>60</v>
      </c>
      <c r="J474" s="7">
        <v>48035.98</v>
      </c>
      <c r="K474" s="7">
        <v>36420.069237000003</v>
      </c>
      <c r="L474" s="7">
        <v>0</v>
      </c>
      <c r="M474" s="7">
        <v>24.18</v>
      </c>
      <c r="N474" s="7">
        <v>24.51</v>
      </c>
      <c r="O474" s="7">
        <v>609402.81000000006</v>
      </c>
      <c r="P474" s="7">
        <v>466447.92965499999</v>
      </c>
      <c r="Q474" s="7">
        <v>0</v>
      </c>
      <c r="R474" s="7">
        <v>23.46</v>
      </c>
      <c r="S474" s="7">
        <v>38</v>
      </c>
      <c r="T474" s="7">
        <v>21</v>
      </c>
      <c r="U474" s="7">
        <v>21</v>
      </c>
      <c r="V474" s="7">
        <v>221</v>
      </c>
      <c r="W474" s="7">
        <v>9.41</v>
      </c>
      <c r="X474" s="7">
        <v>90000</v>
      </c>
      <c r="Y474" s="7">
        <v>1942.83</v>
      </c>
      <c r="Z474" s="7">
        <v>1</v>
      </c>
      <c r="AA474" s="7">
        <v>22.93</v>
      </c>
      <c r="AB474" s="7">
        <v>2975</v>
      </c>
      <c r="AC474" s="7">
        <v>690000</v>
      </c>
      <c r="AD474" s="7">
        <v>690000</v>
      </c>
      <c r="AE474" s="7">
        <v>609402.81000000006</v>
      </c>
      <c r="AF474" s="7">
        <v>540</v>
      </c>
      <c r="AG474" s="7">
        <v>502</v>
      </c>
      <c r="AH474" s="12">
        <v>540</v>
      </c>
    </row>
    <row r="475" spans="1:34" hidden="1" x14ac:dyDescent="0.25">
      <c r="A475" s="11">
        <v>2</v>
      </c>
      <c r="B475" s="8" t="s">
        <v>10</v>
      </c>
      <c r="C475" s="7">
        <v>1612</v>
      </c>
      <c r="D475" s="8" t="s">
        <v>152</v>
      </c>
      <c r="E475" s="8" t="s">
        <v>150</v>
      </c>
      <c r="F475" s="8" t="s">
        <v>12</v>
      </c>
      <c r="G475" s="7">
        <v>90000</v>
      </c>
      <c r="H475" s="7">
        <v>70</v>
      </c>
      <c r="I475" s="7">
        <v>70</v>
      </c>
      <c r="J475" s="7">
        <v>65492</v>
      </c>
      <c r="K475" s="7">
        <v>48931.058270000001</v>
      </c>
      <c r="L475" s="7">
        <v>0</v>
      </c>
      <c r="M475" s="7">
        <v>25.29</v>
      </c>
      <c r="N475" s="7">
        <v>18.96</v>
      </c>
      <c r="O475" s="7">
        <v>879806.8</v>
      </c>
      <c r="P475" s="7">
        <v>661206.86622500001</v>
      </c>
      <c r="Q475" s="7">
        <v>0</v>
      </c>
      <c r="R475" s="7">
        <v>24.85</v>
      </c>
      <c r="S475" s="7">
        <v>57</v>
      </c>
      <c r="T475" s="7">
        <v>21</v>
      </c>
      <c r="U475" s="7">
        <v>21</v>
      </c>
      <c r="V475" s="7">
        <v>540</v>
      </c>
      <c r="W475" s="7">
        <v>16.59</v>
      </c>
      <c r="X475" s="7">
        <v>90000</v>
      </c>
      <c r="Y475" s="7">
        <v>1740.2</v>
      </c>
      <c r="Z475" s="7">
        <v>4</v>
      </c>
      <c r="AA475" s="7">
        <v>21.5</v>
      </c>
      <c r="AB475" s="7">
        <v>2975</v>
      </c>
      <c r="AC475" s="7">
        <v>1000000</v>
      </c>
      <c r="AD475" s="7">
        <v>1000000</v>
      </c>
      <c r="AE475" s="7">
        <v>881745.46</v>
      </c>
      <c r="AF475" s="7">
        <v>673</v>
      </c>
      <c r="AG475" s="7">
        <v>537</v>
      </c>
      <c r="AH475" s="12">
        <v>673</v>
      </c>
    </row>
    <row r="476" spans="1:34" ht="21" hidden="1" x14ac:dyDescent="0.25">
      <c r="A476" s="11">
        <v>17</v>
      </c>
      <c r="B476" s="8" t="s">
        <v>16</v>
      </c>
      <c r="C476" s="7">
        <v>1613</v>
      </c>
      <c r="D476" s="8" t="s">
        <v>42</v>
      </c>
      <c r="E476" s="8" t="s">
        <v>150</v>
      </c>
      <c r="F476" s="8" t="s">
        <v>12</v>
      </c>
      <c r="G476" s="7">
        <v>50000</v>
      </c>
      <c r="H476" s="7">
        <v>50</v>
      </c>
      <c r="I476" s="7">
        <v>50</v>
      </c>
      <c r="J476" s="7">
        <v>48464.34</v>
      </c>
      <c r="K476" s="7">
        <v>36587.782636999997</v>
      </c>
      <c r="L476" s="7">
        <v>0</v>
      </c>
      <c r="M476" s="7">
        <v>24.51</v>
      </c>
      <c r="N476" s="7">
        <v>26.86</v>
      </c>
      <c r="O476" s="7">
        <v>366554.89</v>
      </c>
      <c r="P476" s="7">
        <v>265187.54963199998</v>
      </c>
      <c r="Q476" s="7">
        <v>0</v>
      </c>
      <c r="R476" s="7">
        <v>27.65</v>
      </c>
      <c r="S476" s="7">
        <v>28</v>
      </c>
      <c r="T476" s="7">
        <v>21</v>
      </c>
      <c r="U476" s="7">
        <v>21</v>
      </c>
      <c r="V476" s="7">
        <v>216</v>
      </c>
      <c r="W476" s="7">
        <v>9.08</v>
      </c>
      <c r="X476" s="7">
        <v>50000</v>
      </c>
      <c r="Y476" s="7">
        <v>0</v>
      </c>
      <c r="Z476" s="7">
        <v>2</v>
      </c>
      <c r="AA476" s="7">
        <v>26.11</v>
      </c>
      <c r="AB476" s="7">
        <v>2975</v>
      </c>
      <c r="AC476" s="7">
        <v>510000</v>
      </c>
      <c r="AD476" s="7">
        <v>510000</v>
      </c>
      <c r="AE476" s="7">
        <v>366554.89</v>
      </c>
      <c r="AF476" s="7">
        <v>280</v>
      </c>
      <c r="AG476" s="7">
        <v>192</v>
      </c>
      <c r="AH476" s="12">
        <v>280</v>
      </c>
    </row>
    <row r="477" spans="1:34" ht="21" hidden="1" x14ac:dyDescent="0.25">
      <c r="A477" s="11">
        <v>10</v>
      </c>
      <c r="B477" s="8" t="s">
        <v>180</v>
      </c>
      <c r="C477" s="7">
        <v>1614</v>
      </c>
      <c r="D477" s="8" t="s">
        <v>98</v>
      </c>
      <c r="E477" s="8" t="s">
        <v>150</v>
      </c>
      <c r="F477" s="8" t="s">
        <v>12</v>
      </c>
      <c r="G477" s="7">
        <v>50000</v>
      </c>
      <c r="H477" s="7">
        <v>55</v>
      </c>
      <c r="I477" s="7">
        <v>55</v>
      </c>
      <c r="J477" s="7">
        <v>17665.560000000001</v>
      </c>
      <c r="K477" s="7">
        <v>13341.339988</v>
      </c>
      <c r="L477" s="7">
        <v>0</v>
      </c>
      <c r="M477" s="7">
        <v>24.48</v>
      </c>
      <c r="N477" s="7">
        <v>20.95</v>
      </c>
      <c r="O477" s="7">
        <v>609402.81000000006</v>
      </c>
      <c r="P477" s="7">
        <v>466447.92965499999</v>
      </c>
      <c r="Q477" s="7">
        <v>0</v>
      </c>
      <c r="R477" s="7">
        <v>23.46</v>
      </c>
      <c r="S477" s="7">
        <v>15</v>
      </c>
      <c r="T477" s="7">
        <v>21</v>
      </c>
      <c r="U477" s="7">
        <v>21</v>
      </c>
      <c r="V477" s="7">
        <v>165</v>
      </c>
      <c r="W477" s="7">
        <v>13.06</v>
      </c>
      <c r="X477" s="7">
        <v>50000</v>
      </c>
      <c r="Y477" s="7">
        <v>155.1</v>
      </c>
      <c r="Z477" s="7">
        <v>0</v>
      </c>
      <c r="AA477" s="7">
        <v>22.93</v>
      </c>
      <c r="AB477" s="7">
        <v>2975</v>
      </c>
      <c r="AC477" s="7">
        <v>690000</v>
      </c>
      <c r="AD477" s="7">
        <v>690000</v>
      </c>
      <c r="AE477" s="7">
        <v>609402.81000000006</v>
      </c>
      <c r="AF477" s="7">
        <v>540</v>
      </c>
      <c r="AG477" s="7">
        <v>502</v>
      </c>
      <c r="AH477" s="12">
        <v>540</v>
      </c>
    </row>
    <row r="478" spans="1:34" ht="21" hidden="1" x14ac:dyDescent="0.25">
      <c r="A478" s="11">
        <v>20</v>
      </c>
      <c r="B478" s="8" t="s">
        <v>30</v>
      </c>
      <c r="C478" s="7">
        <v>1615</v>
      </c>
      <c r="D478" s="8" t="s">
        <v>153</v>
      </c>
      <c r="E478" s="8" t="s">
        <v>150</v>
      </c>
      <c r="F478" s="8" t="s">
        <v>12</v>
      </c>
      <c r="G478" s="7">
        <v>50000</v>
      </c>
      <c r="H478" s="7">
        <v>40</v>
      </c>
      <c r="I478" s="7">
        <v>40</v>
      </c>
      <c r="J478" s="7">
        <v>8452.43</v>
      </c>
      <c r="K478" s="7">
        <v>6301.5314559999997</v>
      </c>
      <c r="L478" s="7">
        <v>0</v>
      </c>
      <c r="M478" s="7">
        <v>25.45</v>
      </c>
      <c r="N478" s="7">
        <v>38.81</v>
      </c>
      <c r="O478" s="7">
        <v>333376.57</v>
      </c>
      <c r="P478" s="7">
        <v>259671.58194999999</v>
      </c>
      <c r="Q478" s="7">
        <v>0</v>
      </c>
      <c r="R478" s="7">
        <v>22.11</v>
      </c>
      <c r="S478" s="7">
        <v>8</v>
      </c>
      <c r="T478" s="7">
        <v>21</v>
      </c>
      <c r="U478" s="7">
        <v>21</v>
      </c>
      <c r="V478" s="7">
        <v>46</v>
      </c>
      <c r="W478" s="7">
        <v>6.13</v>
      </c>
      <c r="X478" s="7">
        <v>50000</v>
      </c>
      <c r="Y478" s="7">
        <v>0</v>
      </c>
      <c r="Z478" s="7">
        <v>0</v>
      </c>
      <c r="AA478" s="7">
        <v>27.14</v>
      </c>
      <c r="AB478" s="7">
        <v>2975</v>
      </c>
      <c r="AC478" s="7">
        <v>150000</v>
      </c>
      <c r="AD478" s="7">
        <v>150000</v>
      </c>
      <c r="AE478" s="7">
        <v>59351.44</v>
      </c>
      <c r="AF478" s="7">
        <v>120</v>
      </c>
      <c r="AG478" s="7">
        <v>61</v>
      </c>
      <c r="AH478" s="12">
        <v>120</v>
      </c>
    </row>
    <row r="479" spans="1:34" ht="21" hidden="1" x14ac:dyDescent="0.25">
      <c r="A479" s="11">
        <v>4</v>
      </c>
      <c r="B479" s="8" t="s">
        <v>15</v>
      </c>
      <c r="C479" s="7">
        <v>1616</v>
      </c>
      <c r="D479" s="8" t="s">
        <v>154</v>
      </c>
      <c r="E479" s="8" t="s">
        <v>150</v>
      </c>
      <c r="F479" s="8" t="s">
        <v>12</v>
      </c>
      <c r="G479" s="7">
        <v>26000</v>
      </c>
      <c r="H479" s="7">
        <v>20</v>
      </c>
      <c r="I479" s="7">
        <v>20</v>
      </c>
      <c r="J479" s="7">
        <v>33253.629999999997</v>
      </c>
      <c r="K479" s="7">
        <v>23929.622544999998</v>
      </c>
      <c r="L479" s="7">
        <v>0</v>
      </c>
      <c r="M479" s="7">
        <v>28.04</v>
      </c>
      <c r="N479" s="7">
        <v>23.07</v>
      </c>
      <c r="O479" s="7">
        <v>648535.30000000005</v>
      </c>
      <c r="P479" s="7">
        <v>472008.05384399998</v>
      </c>
      <c r="Q479" s="7">
        <v>0</v>
      </c>
      <c r="R479" s="7">
        <v>27.22</v>
      </c>
      <c r="S479" s="7">
        <v>34</v>
      </c>
      <c r="T479" s="7">
        <v>21</v>
      </c>
      <c r="U479" s="7">
        <v>21</v>
      </c>
      <c r="V479" s="7">
        <v>300</v>
      </c>
      <c r="W479" s="7">
        <v>9.81</v>
      </c>
      <c r="X479" s="7">
        <v>26000</v>
      </c>
      <c r="Y479" s="7">
        <v>0</v>
      </c>
      <c r="Z479" s="7">
        <v>0</v>
      </c>
      <c r="AA479" s="7">
        <v>24.13</v>
      </c>
      <c r="AB479" s="7">
        <v>2975</v>
      </c>
      <c r="AC479" s="7">
        <v>639000</v>
      </c>
      <c r="AD479" s="7">
        <v>639000</v>
      </c>
      <c r="AE479" s="7">
        <v>648535.30000000005</v>
      </c>
      <c r="AF479" s="7">
        <v>423</v>
      </c>
      <c r="AG479" s="7">
        <v>372</v>
      </c>
      <c r="AH479" s="12">
        <v>423</v>
      </c>
    </row>
    <row r="480" spans="1:34" hidden="1" x14ac:dyDescent="0.25">
      <c r="A480" s="11">
        <v>2</v>
      </c>
      <c r="B480" s="8" t="s">
        <v>10</v>
      </c>
      <c r="C480" s="7">
        <v>28</v>
      </c>
      <c r="D480" s="8" t="s">
        <v>98</v>
      </c>
      <c r="E480" s="8" t="s">
        <v>169</v>
      </c>
      <c r="F480" s="8" t="s">
        <v>12</v>
      </c>
      <c r="G480" s="7">
        <v>0</v>
      </c>
      <c r="H480" s="7">
        <v>0</v>
      </c>
      <c r="I480" s="7">
        <v>0</v>
      </c>
      <c r="J480" s="7">
        <v>271.77999999999997</v>
      </c>
      <c r="K480" s="7">
        <v>1585.390449</v>
      </c>
      <c r="L480" s="7">
        <v>0</v>
      </c>
      <c r="M480" s="7">
        <v>-483.34</v>
      </c>
      <c r="N480" s="7">
        <v>4.58</v>
      </c>
      <c r="O480" s="7">
        <v>488596.11</v>
      </c>
      <c r="P480" s="7">
        <v>370375.51799899997</v>
      </c>
      <c r="Q480" s="7">
        <v>0</v>
      </c>
      <c r="R480" s="7">
        <v>24.2</v>
      </c>
      <c r="S480" s="7">
        <v>1</v>
      </c>
      <c r="T480" s="7">
        <v>20</v>
      </c>
      <c r="U480" s="7">
        <v>13</v>
      </c>
      <c r="V480" s="7">
        <v>30</v>
      </c>
      <c r="W480" s="7">
        <v>1.63</v>
      </c>
      <c r="X480" s="7">
        <v>0</v>
      </c>
      <c r="Y480" s="7">
        <v>0</v>
      </c>
      <c r="Z480" s="7">
        <v>0</v>
      </c>
      <c r="AA480" s="7">
        <v>23.05</v>
      </c>
      <c r="AB480" s="7">
        <v>1654</v>
      </c>
      <c r="AC480" s="7">
        <v>1000000</v>
      </c>
      <c r="AD480" s="7">
        <v>650000</v>
      </c>
      <c r="AE480" s="7">
        <v>488596.11</v>
      </c>
      <c r="AF480" s="7">
        <v>439</v>
      </c>
      <c r="AG480" s="7">
        <v>312</v>
      </c>
      <c r="AH480" s="12">
        <v>675</v>
      </c>
    </row>
    <row r="481" spans="1:34" ht="21" hidden="1" x14ac:dyDescent="0.25">
      <c r="A481" s="11">
        <v>10</v>
      </c>
      <c r="B481" s="8" t="s">
        <v>180</v>
      </c>
      <c r="C481" s="7">
        <v>314</v>
      </c>
      <c r="D481" s="8" t="s">
        <v>42</v>
      </c>
      <c r="E481" s="8" t="s">
        <v>169</v>
      </c>
      <c r="F481" s="8" t="s">
        <v>12</v>
      </c>
      <c r="G481" s="7">
        <v>90000</v>
      </c>
      <c r="H481" s="7">
        <v>65</v>
      </c>
      <c r="I481" s="7">
        <v>43</v>
      </c>
      <c r="J481" s="7">
        <v>55445.56</v>
      </c>
      <c r="K481" s="7">
        <v>40080.082589999998</v>
      </c>
      <c r="L481" s="7">
        <v>0</v>
      </c>
      <c r="M481" s="7">
        <v>27.71</v>
      </c>
      <c r="N481" s="7">
        <v>23.95</v>
      </c>
      <c r="O481" s="7">
        <v>332009.38</v>
      </c>
      <c r="P481" s="7">
        <v>252895.49786800001</v>
      </c>
      <c r="Q481" s="7">
        <v>0</v>
      </c>
      <c r="R481" s="7">
        <v>23.83</v>
      </c>
      <c r="S481" s="7">
        <v>36</v>
      </c>
      <c r="T481" s="7">
        <v>20</v>
      </c>
      <c r="U481" s="7">
        <v>13</v>
      </c>
      <c r="V481" s="7">
        <v>311</v>
      </c>
      <c r="W481" s="7">
        <v>14.3</v>
      </c>
      <c r="X481" s="7">
        <v>58500</v>
      </c>
      <c r="Y481" s="7">
        <v>212.47</v>
      </c>
      <c r="Z481" s="7">
        <v>0</v>
      </c>
      <c r="AA481" s="7">
        <v>23.57</v>
      </c>
      <c r="AB481" s="7">
        <v>1654</v>
      </c>
      <c r="AC481" s="7">
        <v>743000</v>
      </c>
      <c r="AD481" s="7">
        <v>482950</v>
      </c>
      <c r="AE481" s="7">
        <v>332009.38</v>
      </c>
      <c r="AF481" s="7">
        <v>351</v>
      </c>
      <c r="AG481" s="7">
        <v>266</v>
      </c>
      <c r="AH481" s="12">
        <v>540</v>
      </c>
    </row>
    <row r="482" spans="1:34" ht="21" hidden="1" x14ac:dyDescent="0.25">
      <c r="A482" s="11">
        <v>4</v>
      </c>
      <c r="B482" s="8" t="s">
        <v>15</v>
      </c>
      <c r="C482" s="7">
        <v>374</v>
      </c>
      <c r="D482" s="8" t="s">
        <v>144</v>
      </c>
      <c r="E482" s="8" t="s">
        <v>169</v>
      </c>
      <c r="F482" s="8" t="s">
        <v>12</v>
      </c>
      <c r="G482" s="7">
        <v>0</v>
      </c>
      <c r="H482" s="7">
        <v>0</v>
      </c>
      <c r="I482" s="7">
        <v>0</v>
      </c>
      <c r="J482" s="7">
        <v>0</v>
      </c>
      <c r="K482" s="7">
        <v>344.694591</v>
      </c>
      <c r="L482" s="7">
        <v>0</v>
      </c>
      <c r="M482" s="7">
        <v>0</v>
      </c>
      <c r="N482" s="7">
        <v>1</v>
      </c>
      <c r="O482" s="7">
        <v>245224.17</v>
      </c>
      <c r="P482" s="7">
        <v>179460.27632199999</v>
      </c>
      <c r="Q482" s="7">
        <v>0</v>
      </c>
      <c r="R482" s="7">
        <v>26.82</v>
      </c>
      <c r="S482" s="7">
        <v>0</v>
      </c>
      <c r="T482" s="7">
        <v>20</v>
      </c>
      <c r="U482" s="7">
        <v>13</v>
      </c>
      <c r="V482" s="7">
        <v>13</v>
      </c>
      <c r="W482" s="7">
        <v>1.63</v>
      </c>
      <c r="X482" s="7">
        <v>0</v>
      </c>
      <c r="Y482" s="7">
        <v>0</v>
      </c>
      <c r="Z482" s="7">
        <v>0</v>
      </c>
      <c r="AA482" s="7">
        <v>23.55</v>
      </c>
      <c r="AB482" s="7">
        <v>1654</v>
      </c>
      <c r="AC482" s="7">
        <v>639000</v>
      </c>
      <c r="AD482" s="7">
        <v>415350</v>
      </c>
      <c r="AE482" s="7">
        <v>245224.17</v>
      </c>
      <c r="AF482" s="7">
        <v>275</v>
      </c>
      <c r="AG482" s="7">
        <v>192</v>
      </c>
      <c r="AH482" s="12">
        <v>423</v>
      </c>
    </row>
    <row r="483" spans="1:34" hidden="1" x14ac:dyDescent="0.25">
      <c r="A483" s="11">
        <v>2</v>
      </c>
      <c r="B483" s="8" t="s">
        <v>10</v>
      </c>
      <c r="C483" s="7">
        <v>423</v>
      </c>
      <c r="D483" s="8" t="s">
        <v>43</v>
      </c>
      <c r="E483" s="8" t="s">
        <v>169</v>
      </c>
      <c r="F483" s="8" t="s">
        <v>12</v>
      </c>
      <c r="G483" s="7">
        <v>95000</v>
      </c>
      <c r="H483" s="7">
        <v>65</v>
      </c>
      <c r="I483" s="7">
        <v>43</v>
      </c>
      <c r="J483" s="7">
        <v>55741.65</v>
      </c>
      <c r="K483" s="7">
        <v>41036.489482999998</v>
      </c>
      <c r="L483" s="7">
        <v>0</v>
      </c>
      <c r="M483" s="7">
        <v>26.38</v>
      </c>
      <c r="N483" s="7">
        <v>18.7</v>
      </c>
      <c r="O483" s="7">
        <v>488596.11</v>
      </c>
      <c r="P483" s="7">
        <v>370375.51799899997</v>
      </c>
      <c r="Q483" s="7">
        <v>0</v>
      </c>
      <c r="R483" s="7">
        <v>24.2</v>
      </c>
      <c r="S483" s="7">
        <v>47</v>
      </c>
      <c r="T483" s="7">
        <v>20</v>
      </c>
      <c r="U483" s="7">
        <v>13</v>
      </c>
      <c r="V483" s="7">
        <v>310</v>
      </c>
      <c r="W483" s="7">
        <v>9.94</v>
      </c>
      <c r="X483" s="7">
        <v>61750</v>
      </c>
      <c r="Y483" s="7">
        <v>206.1</v>
      </c>
      <c r="Z483" s="7">
        <v>2</v>
      </c>
      <c r="AA483" s="7">
        <v>23.05</v>
      </c>
      <c r="AB483" s="7">
        <v>1654</v>
      </c>
      <c r="AC483" s="7">
        <v>1000000</v>
      </c>
      <c r="AD483" s="7">
        <v>650000</v>
      </c>
      <c r="AE483" s="7">
        <v>488596.11</v>
      </c>
      <c r="AF483" s="7">
        <v>439</v>
      </c>
      <c r="AG483" s="7">
        <v>312</v>
      </c>
      <c r="AH483" s="12">
        <v>675</v>
      </c>
    </row>
    <row r="484" spans="1:34" ht="21" hidden="1" x14ac:dyDescent="0.25">
      <c r="A484" s="11">
        <v>6</v>
      </c>
      <c r="B484" s="8" t="s">
        <v>142</v>
      </c>
      <c r="C484" s="7">
        <v>465</v>
      </c>
      <c r="D484" s="8" t="s">
        <v>44</v>
      </c>
      <c r="E484" s="8" t="s">
        <v>169</v>
      </c>
      <c r="F484" s="8" t="s">
        <v>12</v>
      </c>
      <c r="G484" s="7">
        <v>85000</v>
      </c>
      <c r="H484" s="7">
        <v>82</v>
      </c>
      <c r="I484" s="7">
        <v>54</v>
      </c>
      <c r="J484" s="7">
        <v>49618.12</v>
      </c>
      <c r="K484" s="7">
        <v>37704.778069</v>
      </c>
      <c r="L484" s="7">
        <v>0</v>
      </c>
      <c r="M484" s="7">
        <v>24.01</v>
      </c>
      <c r="N484" s="7">
        <v>15.71</v>
      </c>
      <c r="O484" s="7">
        <v>366742.08</v>
      </c>
      <c r="P484" s="7">
        <v>279745.02127199998</v>
      </c>
      <c r="Q484" s="7">
        <v>0</v>
      </c>
      <c r="R484" s="7">
        <v>23.72</v>
      </c>
      <c r="S484" s="7">
        <v>55</v>
      </c>
      <c r="T484" s="7">
        <v>20</v>
      </c>
      <c r="U484" s="7">
        <v>13</v>
      </c>
      <c r="V484" s="7">
        <v>149</v>
      </c>
      <c r="W484" s="7">
        <v>7.08</v>
      </c>
      <c r="X484" s="7">
        <v>55250</v>
      </c>
      <c r="Y484" s="7">
        <v>183.8</v>
      </c>
      <c r="Z484" s="7">
        <v>0</v>
      </c>
      <c r="AA484" s="7">
        <v>18.899999999999999</v>
      </c>
      <c r="AB484" s="7">
        <v>1654</v>
      </c>
      <c r="AC484" s="7">
        <v>842000</v>
      </c>
      <c r="AD484" s="7">
        <v>547300</v>
      </c>
      <c r="AE484" s="7">
        <v>366742.08</v>
      </c>
      <c r="AF484" s="7">
        <v>507</v>
      </c>
      <c r="AG484" s="7">
        <v>357</v>
      </c>
      <c r="AH484" s="12">
        <v>780</v>
      </c>
    </row>
    <row r="485" spans="1:34" ht="21" hidden="1" x14ac:dyDescent="0.25">
      <c r="A485" s="11">
        <v>6</v>
      </c>
      <c r="B485" s="8" t="s">
        <v>142</v>
      </c>
      <c r="C485" s="7">
        <v>481</v>
      </c>
      <c r="D485" s="8" t="s">
        <v>45</v>
      </c>
      <c r="E485" s="8" t="s">
        <v>169</v>
      </c>
      <c r="F485" s="8" t="s">
        <v>12</v>
      </c>
      <c r="G485" s="7">
        <v>100000</v>
      </c>
      <c r="H485" s="7">
        <v>100</v>
      </c>
      <c r="I485" s="7">
        <v>65</v>
      </c>
      <c r="J485" s="7">
        <v>48047.97</v>
      </c>
      <c r="K485" s="7">
        <v>36957.684801000003</v>
      </c>
      <c r="L485" s="7">
        <v>0</v>
      </c>
      <c r="M485" s="7">
        <v>23.08</v>
      </c>
      <c r="N485" s="7">
        <v>19.39</v>
      </c>
      <c r="O485" s="7">
        <v>366742.08</v>
      </c>
      <c r="P485" s="7">
        <v>279745.02127199998</v>
      </c>
      <c r="Q485" s="7">
        <v>0</v>
      </c>
      <c r="R485" s="7">
        <v>23.72</v>
      </c>
      <c r="S485" s="7">
        <v>41</v>
      </c>
      <c r="T485" s="7">
        <v>20</v>
      </c>
      <c r="U485" s="7">
        <v>13</v>
      </c>
      <c r="V485" s="7">
        <v>265</v>
      </c>
      <c r="W485" s="7">
        <v>10.130000000000001</v>
      </c>
      <c r="X485" s="7">
        <v>65000</v>
      </c>
      <c r="Y485" s="7">
        <v>295.60000000000002</v>
      </c>
      <c r="Z485" s="7">
        <v>1</v>
      </c>
      <c r="AA485" s="7">
        <v>18.899999999999999</v>
      </c>
      <c r="AB485" s="7">
        <v>1654</v>
      </c>
      <c r="AC485" s="7">
        <v>842000</v>
      </c>
      <c r="AD485" s="7">
        <v>547300</v>
      </c>
      <c r="AE485" s="7">
        <v>366742.08</v>
      </c>
      <c r="AF485" s="7">
        <v>507</v>
      </c>
      <c r="AG485" s="7">
        <v>357</v>
      </c>
      <c r="AH485" s="12">
        <v>780</v>
      </c>
    </row>
    <row r="486" spans="1:34" hidden="1" x14ac:dyDescent="0.25">
      <c r="A486" s="11">
        <v>2</v>
      </c>
      <c r="B486" s="8" t="s">
        <v>10</v>
      </c>
      <c r="C486" s="7">
        <v>520</v>
      </c>
      <c r="D486" s="8" t="s">
        <v>46</v>
      </c>
      <c r="E486" s="8" t="s">
        <v>169</v>
      </c>
      <c r="F486" s="8" t="s">
        <v>12</v>
      </c>
      <c r="G486" s="7">
        <v>95000</v>
      </c>
      <c r="H486" s="7">
        <v>65</v>
      </c>
      <c r="I486" s="7">
        <v>43</v>
      </c>
      <c r="J486" s="7">
        <v>36496.61</v>
      </c>
      <c r="K486" s="7">
        <v>27051.721109999999</v>
      </c>
      <c r="L486" s="7">
        <v>0</v>
      </c>
      <c r="M486" s="7">
        <v>25.88</v>
      </c>
      <c r="N486" s="7">
        <v>28.35</v>
      </c>
      <c r="O486" s="7">
        <v>488596.11</v>
      </c>
      <c r="P486" s="7">
        <v>370375.51799899997</v>
      </c>
      <c r="Q486" s="7">
        <v>0</v>
      </c>
      <c r="R486" s="7">
        <v>24.2</v>
      </c>
      <c r="S486" s="7">
        <v>22</v>
      </c>
      <c r="T486" s="7">
        <v>20</v>
      </c>
      <c r="U486" s="7">
        <v>13</v>
      </c>
      <c r="V486" s="7">
        <v>183</v>
      </c>
      <c r="W486" s="7">
        <v>16</v>
      </c>
      <c r="X486" s="7">
        <v>61750</v>
      </c>
      <c r="Y486" s="7">
        <v>1468.05</v>
      </c>
      <c r="Z486" s="7">
        <v>0</v>
      </c>
      <c r="AA486" s="7">
        <v>23.05</v>
      </c>
      <c r="AB486" s="7">
        <v>1654</v>
      </c>
      <c r="AC486" s="7">
        <v>1000000</v>
      </c>
      <c r="AD486" s="7">
        <v>650000</v>
      </c>
      <c r="AE486" s="7">
        <v>488596.11</v>
      </c>
      <c r="AF486" s="7">
        <v>439</v>
      </c>
      <c r="AG486" s="7">
        <v>312</v>
      </c>
      <c r="AH486" s="12">
        <v>675</v>
      </c>
    </row>
    <row r="487" spans="1:34" hidden="1" x14ac:dyDescent="0.25">
      <c r="A487" s="11">
        <v>2</v>
      </c>
      <c r="B487" s="8" t="s">
        <v>10</v>
      </c>
      <c r="C487" s="7">
        <v>577</v>
      </c>
      <c r="D487" s="8" t="s">
        <v>47</v>
      </c>
      <c r="E487" s="8" t="s">
        <v>169</v>
      </c>
      <c r="F487" s="8" t="s">
        <v>12</v>
      </c>
      <c r="G487" s="7">
        <v>95000</v>
      </c>
      <c r="H487" s="7">
        <v>15</v>
      </c>
      <c r="I487" s="7">
        <v>10</v>
      </c>
      <c r="J487" s="7">
        <v>36003.050000000003</v>
      </c>
      <c r="K487" s="7">
        <v>30827.978577000002</v>
      </c>
      <c r="L487" s="7">
        <v>0</v>
      </c>
      <c r="M487" s="7">
        <v>14.37</v>
      </c>
      <c r="N487" s="7">
        <v>19.41</v>
      </c>
      <c r="O487" s="7">
        <v>488596.11</v>
      </c>
      <c r="P487" s="7">
        <v>370375.51799899997</v>
      </c>
      <c r="Q487" s="7">
        <v>0</v>
      </c>
      <c r="R487" s="7">
        <v>24.2</v>
      </c>
      <c r="S487" s="7">
        <v>6</v>
      </c>
      <c r="T487" s="7">
        <v>20</v>
      </c>
      <c r="U487" s="7">
        <v>13</v>
      </c>
      <c r="V487" s="7">
        <v>44</v>
      </c>
      <c r="W487" s="7">
        <v>5.18</v>
      </c>
      <c r="X487" s="7">
        <v>61750</v>
      </c>
      <c r="Y487" s="7">
        <v>0</v>
      </c>
      <c r="Z487" s="7">
        <v>0</v>
      </c>
      <c r="AA487" s="7">
        <v>23.05</v>
      </c>
      <c r="AB487" s="7">
        <v>1654</v>
      </c>
      <c r="AC487" s="7">
        <v>1000000</v>
      </c>
      <c r="AD487" s="7">
        <v>650000</v>
      </c>
      <c r="AE487" s="7">
        <v>488596.11</v>
      </c>
      <c r="AF487" s="7">
        <v>439</v>
      </c>
      <c r="AG487" s="7">
        <v>312</v>
      </c>
      <c r="AH487" s="12">
        <v>675</v>
      </c>
    </row>
    <row r="488" spans="1:34" ht="21" hidden="1" x14ac:dyDescent="0.25">
      <c r="A488" s="11">
        <v>6</v>
      </c>
      <c r="B488" s="8" t="s">
        <v>142</v>
      </c>
      <c r="C488" s="7">
        <v>644</v>
      </c>
      <c r="D488" s="8" t="s">
        <v>156</v>
      </c>
      <c r="E488" s="8" t="s">
        <v>169</v>
      </c>
      <c r="F488" s="8" t="s">
        <v>12</v>
      </c>
      <c r="G488" s="7">
        <v>0</v>
      </c>
      <c r="H488" s="7">
        <v>0</v>
      </c>
      <c r="I488" s="7">
        <v>0</v>
      </c>
      <c r="J488" s="7">
        <v>0</v>
      </c>
      <c r="K488" s="7">
        <v>1148.908833</v>
      </c>
      <c r="L488" s="7">
        <v>0</v>
      </c>
      <c r="M488" s="7">
        <v>0</v>
      </c>
      <c r="N488" s="7">
        <v>1</v>
      </c>
      <c r="O488" s="7">
        <v>366742.08</v>
      </c>
      <c r="P488" s="7">
        <v>279745.02127199998</v>
      </c>
      <c r="Q488" s="7">
        <v>0</v>
      </c>
      <c r="R488" s="7">
        <v>23.72</v>
      </c>
      <c r="S488" s="7">
        <v>0</v>
      </c>
      <c r="T488" s="7">
        <v>20</v>
      </c>
      <c r="U488" s="7">
        <v>13</v>
      </c>
      <c r="V488" s="7">
        <v>18</v>
      </c>
      <c r="W488" s="7">
        <v>3.6</v>
      </c>
      <c r="X488" s="7">
        <v>0</v>
      </c>
      <c r="Y488" s="7">
        <v>0</v>
      </c>
      <c r="Z488" s="7">
        <v>0</v>
      </c>
      <c r="AA488" s="7">
        <v>18.899999999999999</v>
      </c>
      <c r="AB488" s="7">
        <v>1654</v>
      </c>
      <c r="AC488" s="7">
        <v>842000</v>
      </c>
      <c r="AD488" s="7">
        <v>547300</v>
      </c>
      <c r="AE488" s="7">
        <v>366742.08</v>
      </c>
      <c r="AF488" s="7">
        <v>507</v>
      </c>
      <c r="AG488" s="7">
        <v>357</v>
      </c>
      <c r="AH488" s="12">
        <v>780</v>
      </c>
    </row>
    <row r="489" spans="1:34" ht="21" hidden="1" x14ac:dyDescent="0.25">
      <c r="A489" s="11">
        <v>26</v>
      </c>
      <c r="B489" s="8" t="s">
        <v>13</v>
      </c>
      <c r="C489" s="7">
        <v>661</v>
      </c>
      <c r="D489" s="8" t="s">
        <v>48</v>
      </c>
      <c r="E489" s="8" t="s">
        <v>169</v>
      </c>
      <c r="F489" s="8" t="s">
        <v>12</v>
      </c>
      <c r="G489" s="7">
        <v>90000</v>
      </c>
      <c r="H489" s="7">
        <v>55</v>
      </c>
      <c r="I489" s="7">
        <v>36</v>
      </c>
      <c r="J489" s="7">
        <v>23435.29</v>
      </c>
      <c r="K489" s="7">
        <v>18217.073582000001</v>
      </c>
      <c r="L489" s="7">
        <v>0</v>
      </c>
      <c r="M489" s="7">
        <v>22.27</v>
      </c>
      <c r="N489" s="7">
        <v>17.149999999999999</v>
      </c>
      <c r="O489" s="7">
        <v>402890.95</v>
      </c>
      <c r="P489" s="7">
        <v>311837.77215999999</v>
      </c>
      <c r="Q489" s="7">
        <v>0</v>
      </c>
      <c r="R489" s="7">
        <v>22.6</v>
      </c>
      <c r="S489" s="7">
        <v>27</v>
      </c>
      <c r="T489" s="7">
        <v>20</v>
      </c>
      <c r="U489" s="7">
        <v>13</v>
      </c>
      <c r="V489" s="7">
        <v>149</v>
      </c>
      <c r="W489" s="7">
        <v>10.86</v>
      </c>
      <c r="X489" s="7">
        <v>58500</v>
      </c>
      <c r="Y489" s="7">
        <v>984.83</v>
      </c>
      <c r="Z489" s="7">
        <v>0</v>
      </c>
      <c r="AA489" s="7">
        <v>28.26</v>
      </c>
      <c r="AB489" s="7">
        <v>1654</v>
      </c>
      <c r="AC489" s="7">
        <v>790000</v>
      </c>
      <c r="AD489" s="7">
        <v>513500</v>
      </c>
      <c r="AE489" s="7">
        <v>402890.95</v>
      </c>
      <c r="AF489" s="7">
        <v>380</v>
      </c>
      <c r="AG489" s="7">
        <v>299</v>
      </c>
      <c r="AH489" s="12">
        <v>584</v>
      </c>
    </row>
    <row r="490" spans="1:34" hidden="1" x14ac:dyDescent="0.25">
      <c r="A490" s="11">
        <v>2</v>
      </c>
      <c r="B490" s="8" t="s">
        <v>10</v>
      </c>
      <c r="C490" s="7">
        <v>690</v>
      </c>
      <c r="D490" s="8" t="s">
        <v>49</v>
      </c>
      <c r="E490" s="8" t="s">
        <v>169</v>
      </c>
      <c r="F490" s="8" t="s">
        <v>12</v>
      </c>
      <c r="G490" s="7">
        <v>95000</v>
      </c>
      <c r="H490" s="7">
        <v>85</v>
      </c>
      <c r="I490" s="7">
        <v>56</v>
      </c>
      <c r="J490" s="7">
        <v>39840.29</v>
      </c>
      <c r="K490" s="7">
        <v>30349.165596999999</v>
      </c>
      <c r="L490" s="7">
        <v>0</v>
      </c>
      <c r="M490" s="7">
        <v>23.82</v>
      </c>
      <c r="N490" s="7">
        <v>16.850000000000001</v>
      </c>
      <c r="O490" s="7">
        <v>488596.11</v>
      </c>
      <c r="P490" s="7">
        <v>370375.51799899997</v>
      </c>
      <c r="Q490" s="7">
        <v>0</v>
      </c>
      <c r="R490" s="7">
        <v>24.2</v>
      </c>
      <c r="S490" s="7">
        <v>43</v>
      </c>
      <c r="T490" s="7">
        <v>20</v>
      </c>
      <c r="U490" s="7">
        <v>13</v>
      </c>
      <c r="V490" s="7">
        <v>266</v>
      </c>
      <c r="W490" s="7">
        <v>13.96</v>
      </c>
      <c r="X490" s="7">
        <v>61750</v>
      </c>
      <c r="Y490" s="7">
        <v>1107.1500000000001</v>
      </c>
      <c r="Z490" s="7">
        <v>0</v>
      </c>
      <c r="AA490" s="7">
        <v>23.05</v>
      </c>
      <c r="AB490" s="7">
        <v>1654</v>
      </c>
      <c r="AC490" s="7">
        <v>1000000</v>
      </c>
      <c r="AD490" s="7">
        <v>650000</v>
      </c>
      <c r="AE490" s="7">
        <v>488596.11</v>
      </c>
      <c r="AF490" s="7">
        <v>439</v>
      </c>
      <c r="AG490" s="7">
        <v>312</v>
      </c>
      <c r="AH490" s="12">
        <v>675</v>
      </c>
    </row>
    <row r="491" spans="1:34" ht="21" hidden="1" x14ac:dyDescent="0.25">
      <c r="A491" s="11">
        <v>6</v>
      </c>
      <c r="B491" s="8" t="s">
        <v>142</v>
      </c>
      <c r="C491" s="7">
        <v>704</v>
      </c>
      <c r="D491" s="8" t="s">
        <v>22</v>
      </c>
      <c r="E491" s="8" t="s">
        <v>169</v>
      </c>
      <c r="F491" s="8" t="s">
        <v>12</v>
      </c>
      <c r="G491" s="7">
        <v>0</v>
      </c>
      <c r="H491" s="7">
        <v>0</v>
      </c>
      <c r="I491" s="7">
        <v>0</v>
      </c>
      <c r="J491" s="7">
        <v>0</v>
      </c>
      <c r="K491" s="7">
        <v>56.246442000000002</v>
      </c>
      <c r="L491" s="7">
        <v>0</v>
      </c>
      <c r="M491" s="7">
        <v>0</v>
      </c>
      <c r="N491" s="7">
        <v>1</v>
      </c>
      <c r="O491" s="7">
        <v>366742.08</v>
      </c>
      <c r="P491" s="7">
        <v>279745.02127199998</v>
      </c>
      <c r="Q491" s="7">
        <v>0</v>
      </c>
      <c r="R491" s="7">
        <v>23.72</v>
      </c>
      <c r="S491" s="7">
        <v>0</v>
      </c>
      <c r="T491" s="7">
        <v>20</v>
      </c>
      <c r="U491" s="7">
        <v>13</v>
      </c>
      <c r="V491" s="7">
        <v>3</v>
      </c>
      <c r="W491" s="7">
        <v>3</v>
      </c>
      <c r="X491" s="7">
        <v>0</v>
      </c>
      <c r="Y491" s="7">
        <v>0</v>
      </c>
      <c r="Z491" s="7">
        <v>0</v>
      </c>
      <c r="AA491" s="7">
        <v>18.899999999999999</v>
      </c>
      <c r="AB491" s="7">
        <v>1654</v>
      </c>
      <c r="AC491" s="7">
        <v>842000</v>
      </c>
      <c r="AD491" s="7">
        <v>547300</v>
      </c>
      <c r="AE491" s="7">
        <v>366742.08</v>
      </c>
      <c r="AF491" s="7">
        <v>507</v>
      </c>
      <c r="AG491" s="7">
        <v>357</v>
      </c>
      <c r="AH491" s="12">
        <v>780</v>
      </c>
    </row>
    <row r="492" spans="1:34" ht="21" hidden="1" x14ac:dyDescent="0.25">
      <c r="A492" s="11">
        <v>26</v>
      </c>
      <c r="B492" s="8" t="s">
        <v>13</v>
      </c>
      <c r="C492" s="7">
        <v>705</v>
      </c>
      <c r="D492" s="8" t="s">
        <v>50</v>
      </c>
      <c r="E492" s="8" t="s">
        <v>169</v>
      </c>
      <c r="F492" s="8" t="s">
        <v>12</v>
      </c>
      <c r="G492" s="7">
        <v>85000</v>
      </c>
      <c r="H492" s="7">
        <v>35</v>
      </c>
      <c r="I492" s="7">
        <v>23</v>
      </c>
      <c r="J492" s="7">
        <v>36425.82</v>
      </c>
      <c r="K492" s="7">
        <v>28126.919134</v>
      </c>
      <c r="L492" s="7">
        <v>0</v>
      </c>
      <c r="M492" s="7">
        <v>22.78</v>
      </c>
      <c r="N492" s="7">
        <v>15.54</v>
      </c>
      <c r="O492" s="7">
        <v>402890.95</v>
      </c>
      <c r="P492" s="7">
        <v>311837.77215999999</v>
      </c>
      <c r="Q492" s="7">
        <v>0</v>
      </c>
      <c r="R492" s="7">
        <v>22.6</v>
      </c>
      <c r="S492" s="7">
        <v>11</v>
      </c>
      <c r="T492" s="7">
        <v>20</v>
      </c>
      <c r="U492" s="7">
        <v>13</v>
      </c>
      <c r="V492" s="7">
        <v>166</v>
      </c>
      <c r="W492" s="7">
        <v>13.2</v>
      </c>
      <c r="X492" s="7">
        <v>55250</v>
      </c>
      <c r="Y492" s="7">
        <v>0</v>
      </c>
      <c r="Z492" s="7">
        <v>0</v>
      </c>
      <c r="AA492" s="7">
        <v>28.26</v>
      </c>
      <c r="AB492" s="7">
        <v>1654</v>
      </c>
      <c r="AC492" s="7">
        <v>790000</v>
      </c>
      <c r="AD492" s="7">
        <v>513500</v>
      </c>
      <c r="AE492" s="7">
        <v>402890.95</v>
      </c>
      <c r="AF492" s="7">
        <v>380</v>
      </c>
      <c r="AG492" s="7">
        <v>299</v>
      </c>
      <c r="AH492" s="12">
        <v>584</v>
      </c>
    </row>
    <row r="493" spans="1:34" hidden="1" x14ac:dyDescent="0.25">
      <c r="A493" s="11">
        <v>2</v>
      </c>
      <c r="B493" s="8" t="s">
        <v>10</v>
      </c>
      <c r="C493" s="7">
        <v>756</v>
      </c>
      <c r="D493" s="8" t="s">
        <v>52</v>
      </c>
      <c r="E493" s="8" t="s">
        <v>169</v>
      </c>
      <c r="F493" s="8" t="s">
        <v>12</v>
      </c>
      <c r="G493" s="7">
        <v>95000</v>
      </c>
      <c r="H493" s="7">
        <v>57</v>
      </c>
      <c r="I493" s="7">
        <v>38</v>
      </c>
      <c r="J493" s="7">
        <v>57375.28</v>
      </c>
      <c r="K493" s="7">
        <v>44554.177548</v>
      </c>
      <c r="L493" s="7">
        <v>0</v>
      </c>
      <c r="M493" s="7">
        <v>22.35</v>
      </c>
      <c r="N493" s="7">
        <v>31.4</v>
      </c>
      <c r="O493" s="7">
        <v>488596.11</v>
      </c>
      <c r="P493" s="7">
        <v>370375.51799899997</v>
      </c>
      <c r="Q493" s="7">
        <v>0</v>
      </c>
      <c r="R493" s="7">
        <v>24.2</v>
      </c>
      <c r="S493" s="7">
        <v>39</v>
      </c>
      <c r="T493" s="7">
        <v>20</v>
      </c>
      <c r="U493" s="7">
        <v>13</v>
      </c>
      <c r="V493" s="7">
        <v>234</v>
      </c>
      <c r="W493" s="7">
        <v>11.94</v>
      </c>
      <c r="X493" s="7">
        <v>61750</v>
      </c>
      <c r="Y493" s="7">
        <v>52.53</v>
      </c>
      <c r="Z493" s="7">
        <v>2</v>
      </c>
      <c r="AA493" s="7">
        <v>23.05</v>
      </c>
      <c r="AB493" s="7">
        <v>1654</v>
      </c>
      <c r="AC493" s="7">
        <v>1000000</v>
      </c>
      <c r="AD493" s="7">
        <v>650000</v>
      </c>
      <c r="AE493" s="7">
        <v>488596.11</v>
      </c>
      <c r="AF493" s="7">
        <v>439</v>
      </c>
      <c r="AG493" s="7">
        <v>312</v>
      </c>
      <c r="AH493" s="12">
        <v>675</v>
      </c>
    </row>
    <row r="494" spans="1:34" ht="21" hidden="1" x14ac:dyDescent="0.25">
      <c r="A494" s="11">
        <v>26</v>
      </c>
      <c r="B494" s="8" t="s">
        <v>13</v>
      </c>
      <c r="C494" s="7">
        <v>759</v>
      </c>
      <c r="D494" s="8" t="s">
        <v>53</v>
      </c>
      <c r="E494" s="8" t="s">
        <v>169</v>
      </c>
      <c r="F494" s="8" t="s">
        <v>12</v>
      </c>
      <c r="G494" s="7">
        <v>50000</v>
      </c>
      <c r="H494" s="7">
        <v>47</v>
      </c>
      <c r="I494" s="7">
        <v>31</v>
      </c>
      <c r="J494" s="7">
        <v>22593.83</v>
      </c>
      <c r="K494" s="7">
        <v>17002.802638000001</v>
      </c>
      <c r="L494" s="7">
        <v>0</v>
      </c>
      <c r="M494" s="7">
        <v>24.75</v>
      </c>
      <c r="N494" s="7">
        <v>19.920000000000002</v>
      </c>
      <c r="O494" s="7">
        <v>402890.95</v>
      </c>
      <c r="P494" s="7">
        <v>311837.77215999999</v>
      </c>
      <c r="Q494" s="7">
        <v>0</v>
      </c>
      <c r="R494" s="7">
        <v>22.6</v>
      </c>
      <c r="S494" s="7">
        <v>24</v>
      </c>
      <c r="T494" s="7">
        <v>20</v>
      </c>
      <c r="U494" s="7">
        <v>13</v>
      </c>
      <c r="V494" s="7">
        <v>174</v>
      </c>
      <c r="W494" s="7">
        <v>10.79</v>
      </c>
      <c r="X494" s="7">
        <v>32500</v>
      </c>
      <c r="Y494" s="7">
        <v>0</v>
      </c>
      <c r="Z494" s="7">
        <v>0</v>
      </c>
      <c r="AA494" s="7">
        <v>28.26</v>
      </c>
      <c r="AB494" s="7">
        <v>1654</v>
      </c>
      <c r="AC494" s="7">
        <v>790000</v>
      </c>
      <c r="AD494" s="7">
        <v>513500</v>
      </c>
      <c r="AE494" s="7">
        <v>402890.95</v>
      </c>
      <c r="AF494" s="7">
        <v>380</v>
      </c>
      <c r="AG494" s="7">
        <v>299</v>
      </c>
      <c r="AH494" s="12">
        <v>584</v>
      </c>
    </row>
    <row r="495" spans="1:34" ht="21" hidden="1" x14ac:dyDescent="0.25">
      <c r="A495" s="11">
        <v>5</v>
      </c>
      <c r="B495" s="8" t="s">
        <v>143</v>
      </c>
      <c r="C495" s="7">
        <v>760</v>
      </c>
      <c r="D495" s="8" t="s">
        <v>54</v>
      </c>
      <c r="E495" s="8" t="s">
        <v>169</v>
      </c>
      <c r="F495" s="8" t="s">
        <v>12</v>
      </c>
      <c r="G495" s="7">
        <v>147000</v>
      </c>
      <c r="H495" s="7">
        <v>30</v>
      </c>
      <c r="I495" s="7">
        <v>20</v>
      </c>
      <c r="J495" s="7">
        <v>60121.599999999999</v>
      </c>
      <c r="K495" s="7">
        <v>45941.573819999998</v>
      </c>
      <c r="L495" s="7">
        <v>0</v>
      </c>
      <c r="M495" s="7">
        <v>23.59</v>
      </c>
      <c r="N495" s="7">
        <v>37.9</v>
      </c>
      <c r="O495" s="7">
        <v>153597.82999999999</v>
      </c>
      <c r="P495" s="7">
        <v>121903.883544</v>
      </c>
      <c r="Q495" s="7">
        <v>0</v>
      </c>
      <c r="R495" s="7">
        <v>20.63</v>
      </c>
      <c r="S495" s="7">
        <v>27</v>
      </c>
      <c r="T495" s="7">
        <v>20</v>
      </c>
      <c r="U495" s="7">
        <v>13</v>
      </c>
      <c r="V495" s="7">
        <v>107</v>
      </c>
      <c r="W495" s="7">
        <v>6.2</v>
      </c>
      <c r="X495" s="7">
        <v>95550</v>
      </c>
      <c r="Y495" s="7">
        <v>2312.35</v>
      </c>
      <c r="Z495" s="7">
        <v>0</v>
      </c>
      <c r="AA495" s="7">
        <v>35.04</v>
      </c>
      <c r="AB495" s="7">
        <v>1654</v>
      </c>
      <c r="AC495" s="7">
        <v>332000</v>
      </c>
      <c r="AD495" s="7">
        <v>215800</v>
      </c>
      <c r="AE495" s="7">
        <v>153597.82999999999</v>
      </c>
      <c r="AF495" s="7">
        <v>65</v>
      </c>
      <c r="AG495" s="7">
        <v>79</v>
      </c>
      <c r="AH495" s="12">
        <v>100</v>
      </c>
    </row>
    <row r="496" spans="1:34" ht="21" hidden="1" x14ac:dyDescent="0.25">
      <c r="A496" s="11">
        <v>6</v>
      </c>
      <c r="B496" s="8" t="s">
        <v>142</v>
      </c>
      <c r="C496" s="7">
        <v>764</v>
      </c>
      <c r="D496" s="8" t="s">
        <v>55</v>
      </c>
      <c r="E496" s="8" t="s">
        <v>169</v>
      </c>
      <c r="F496" s="8" t="s">
        <v>12</v>
      </c>
      <c r="G496" s="7">
        <v>108000</v>
      </c>
      <c r="H496" s="7">
        <v>83</v>
      </c>
      <c r="I496" s="7">
        <v>54</v>
      </c>
      <c r="J496" s="7">
        <v>33112.19</v>
      </c>
      <c r="K496" s="7">
        <v>25415.160673999999</v>
      </c>
      <c r="L496" s="7">
        <v>0</v>
      </c>
      <c r="M496" s="7">
        <v>23.25</v>
      </c>
      <c r="N496" s="7">
        <v>15.48</v>
      </c>
      <c r="O496" s="7">
        <v>366742.08</v>
      </c>
      <c r="P496" s="7">
        <v>279745.02127199998</v>
      </c>
      <c r="Q496" s="7">
        <v>0</v>
      </c>
      <c r="R496" s="7">
        <v>23.72</v>
      </c>
      <c r="S496" s="7">
        <v>50</v>
      </c>
      <c r="T496" s="7">
        <v>20</v>
      </c>
      <c r="U496" s="7">
        <v>13</v>
      </c>
      <c r="V496" s="7">
        <v>251</v>
      </c>
      <c r="W496" s="7">
        <v>9.36</v>
      </c>
      <c r="X496" s="7">
        <v>70200</v>
      </c>
      <c r="Y496" s="7">
        <v>224</v>
      </c>
      <c r="Z496" s="7">
        <v>0</v>
      </c>
      <c r="AA496" s="7">
        <v>18.899999999999999</v>
      </c>
      <c r="AB496" s="7">
        <v>1654</v>
      </c>
      <c r="AC496" s="7">
        <v>842000</v>
      </c>
      <c r="AD496" s="7">
        <v>547300</v>
      </c>
      <c r="AE496" s="7">
        <v>366742.08</v>
      </c>
      <c r="AF496" s="7">
        <v>507</v>
      </c>
      <c r="AG496" s="7">
        <v>357</v>
      </c>
      <c r="AH496" s="12">
        <v>780</v>
      </c>
    </row>
    <row r="497" spans="1:34" ht="21" hidden="1" x14ac:dyDescent="0.25">
      <c r="A497" s="11">
        <v>26</v>
      </c>
      <c r="B497" s="8" t="s">
        <v>13</v>
      </c>
      <c r="C497" s="7">
        <v>796</v>
      </c>
      <c r="D497" s="8" t="s">
        <v>61</v>
      </c>
      <c r="E497" s="8" t="s">
        <v>169</v>
      </c>
      <c r="F497" s="8" t="s">
        <v>12</v>
      </c>
      <c r="G497" s="7">
        <v>35000</v>
      </c>
      <c r="H497" s="7">
        <v>1</v>
      </c>
      <c r="I497" s="7">
        <v>1</v>
      </c>
      <c r="J497" s="7">
        <v>32346.61</v>
      </c>
      <c r="K497" s="7">
        <v>28294.669082</v>
      </c>
      <c r="L497" s="7">
        <v>0</v>
      </c>
      <c r="M497" s="7">
        <v>12.53</v>
      </c>
      <c r="N497" s="7">
        <v>61.82</v>
      </c>
      <c r="O497" s="7">
        <v>402890.95</v>
      </c>
      <c r="P497" s="7">
        <v>311837.77215999999</v>
      </c>
      <c r="Q497" s="7">
        <v>0</v>
      </c>
      <c r="R497" s="7">
        <v>22.6</v>
      </c>
      <c r="S497" s="7">
        <v>1</v>
      </c>
      <c r="T497" s="7">
        <v>20</v>
      </c>
      <c r="U497" s="7">
        <v>13</v>
      </c>
      <c r="V497" s="7">
        <v>284</v>
      </c>
      <c r="W497" s="7">
        <v>18.190000000000001</v>
      </c>
      <c r="X497" s="7">
        <v>22750</v>
      </c>
      <c r="Y497" s="7">
        <v>31.87</v>
      </c>
      <c r="Z497" s="7">
        <v>0</v>
      </c>
      <c r="AA497" s="7">
        <v>28.26</v>
      </c>
      <c r="AB497" s="7">
        <v>1654</v>
      </c>
      <c r="AC497" s="7">
        <v>790000</v>
      </c>
      <c r="AD497" s="7">
        <v>513500</v>
      </c>
      <c r="AE497" s="7">
        <v>402890.95</v>
      </c>
      <c r="AF497" s="7">
        <v>380</v>
      </c>
      <c r="AG497" s="7">
        <v>299</v>
      </c>
      <c r="AH497" s="12">
        <v>584</v>
      </c>
    </row>
    <row r="498" spans="1:34" ht="21" hidden="1" x14ac:dyDescent="0.25">
      <c r="A498" s="11">
        <v>12</v>
      </c>
      <c r="B498" s="8" t="s">
        <v>14</v>
      </c>
      <c r="C498" s="7">
        <v>800</v>
      </c>
      <c r="D498" s="8" t="s">
        <v>117</v>
      </c>
      <c r="E498" s="8" t="s">
        <v>169</v>
      </c>
      <c r="F498" s="8" t="s">
        <v>12</v>
      </c>
      <c r="G498" s="7">
        <v>70000</v>
      </c>
      <c r="H498" s="7">
        <v>65</v>
      </c>
      <c r="I498" s="7">
        <v>43</v>
      </c>
      <c r="J498" s="7">
        <v>9404.82</v>
      </c>
      <c r="K498" s="7">
        <v>7241.507044</v>
      </c>
      <c r="L498" s="7">
        <v>0</v>
      </c>
      <c r="M498" s="7">
        <v>23</v>
      </c>
      <c r="N498" s="7">
        <v>11.89</v>
      </c>
      <c r="O498" s="7">
        <v>194596.38</v>
      </c>
      <c r="P498" s="7">
        <v>150209.46789699999</v>
      </c>
      <c r="Q498" s="7">
        <v>0</v>
      </c>
      <c r="R498" s="7">
        <v>22.81</v>
      </c>
      <c r="S498" s="7">
        <v>21</v>
      </c>
      <c r="T498" s="7">
        <v>20</v>
      </c>
      <c r="U498" s="7">
        <v>13</v>
      </c>
      <c r="V498" s="7">
        <v>114</v>
      </c>
      <c r="W498" s="7">
        <v>6.83</v>
      </c>
      <c r="X498" s="7">
        <v>45500</v>
      </c>
      <c r="Y498" s="7">
        <v>196.79</v>
      </c>
      <c r="Z498" s="7">
        <v>0</v>
      </c>
      <c r="AA498" s="7">
        <v>15.87</v>
      </c>
      <c r="AB498" s="7">
        <v>1654</v>
      </c>
      <c r="AC498" s="7">
        <v>634000</v>
      </c>
      <c r="AD498" s="7">
        <v>412100</v>
      </c>
      <c r="AE498" s="7">
        <v>194596.38</v>
      </c>
      <c r="AF498" s="7">
        <v>446</v>
      </c>
      <c r="AG498" s="7">
        <v>277</v>
      </c>
      <c r="AH498" s="12">
        <v>685</v>
      </c>
    </row>
    <row r="499" spans="1:34" hidden="1" x14ac:dyDescent="0.25">
      <c r="A499" s="11">
        <v>2</v>
      </c>
      <c r="B499" s="8" t="s">
        <v>10</v>
      </c>
      <c r="C499" s="7">
        <v>817</v>
      </c>
      <c r="D499" s="8" t="s">
        <v>57</v>
      </c>
      <c r="E499" s="8" t="s">
        <v>169</v>
      </c>
      <c r="F499" s="8" t="s">
        <v>12</v>
      </c>
      <c r="G499" s="7">
        <v>95000</v>
      </c>
      <c r="H499" s="7">
        <v>68</v>
      </c>
      <c r="I499" s="7">
        <v>45</v>
      </c>
      <c r="J499" s="7">
        <v>68020.37</v>
      </c>
      <c r="K499" s="7">
        <v>50666.482583999998</v>
      </c>
      <c r="L499" s="7">
        <v>0</v>
      </c>
      <c r="M499" s="7">
        <v>25.51</v>
      </c>
      <c r="N499" s="7">
        <v>21.25</v>
      </c>
      <c r="O499" s="7">
        <v>488596.11</v>
      </c>
      <c r="P499" s="7">
        <v>370375.51799899997</v>
      </c>
      <c r="Q499" s="7">
        <v>0</v>
      </c>
      <c r="R499" s="7">
        <v>24.2</v>
      </c>
      <c r="S499" s="7">
        <v>35</v>
      </c>
      <c r="T499" s="7">
        <v>20</v>
      </c>
      <c r="U499" s="7">
        <v>13</v>
      </c>
      <c r="V499" s="7">
        <v>297</v>
      </c>
      <c r="W499" s="7">
        <v>12.79</v>
      </c>
      <c r="X499" s="7">
        <v>61750</v>
      </c>
      <c r="Y499" s="7">
        <v>155.94999999999999</v>
      </c>
      <c r="Z499" s="7">
        <v>0</v>
      </c>
      <c r="AA499" s="7">
        <v>23.05</v>
      </c>
      <c r="AB499" s="7">
        <v>1654</v>
      </c>
      <c r="AC499" s="7">
        <v>1000000</v>
      </c>
      <c r="AD499" s="7">
        <v>650000</v>
      </c>
      <c r="AE499" s="7">
        <v>488596.11</v>
      </c>
      <c r="AF499" s="7">
        <v>439</v>
      </c>
      <c r="AG499" s="7">
        <v>312</v>
      </c>
      <c r="AH499" s="12">
        <v>675</v>
      </c>
    </row>
    <row r="500" spans="1:34" ht="21" hidden="1" x14ac:dyDescent="0.25">
      <c r="A500" s="11">
        <v>12</v>
      </c>
      <c r="B500" s="8" t="s">
        <v>14</v>
      </c>
      <c r="C500" s="7">
        <v>853</v>
      </c>
      <c r="D500" s="8" t="s">
        <v>58</v>
      </c>
      <c r="E500" s="8" t="s">
        <v>169</v>
      </c>
      <c r="F500" s="8" t="s">
        <v>12</v>
      </c>
      <c r="G500" s="7">
        <v>55000</v>
      </c>
      <c r="H500" s="7">
        <v>60</v>
      </c>
      <c r="I500" s="7">
        <v>39</v>
      </c>
      <c r="J500" s="7">
        <v>30496.62</v>
      </c>
      <c r="K500" s="7">
        <v>23859.106371000002</v>
      </c>
      <c r="L500" s="7">
        <v>0</v>
      </c>
      <c r="M500" s="7">
        <v>21.76</v>
      </c>
      <c r="N500" s="7">
        <v>16.37</v>
      </c>
      <c r="O500" s="7">
        <v>194596.38</v>
      </c>
      <c r="P500" s="7">
        <v>150209.46789699999</v>
      </c>
      <c r="Q500" s="7">
        <v>0</v>
      </c>
      <c r="R500" s="7">
        <v>22.81</v>
      </c>
      <c r="S500" s="7">
        <v>37</v>
      </c>
      <c r="T500" s="7">
        <v>20</v>
      </c>
      <c r="U500" s="7">
        <v>13</v>
      </c>
      <c r="V500" s="7">
        <v>201</v>
      </c>
      <c r="W500" s="7">
        <v>9.7899999999999991</v>
      </c>
      <c r="X500" s="7">
        <v>35750</v>
      </c>
      <c r="Y500" s="7">
        <v>2134.5700000000002</v>
      </c>
      <c r="Z500" s="7">
        <v>1</v>
      </c>
      <c r="AA500" s="7">
        <v>15.87</v>
      </c>
      <c r="AB500" s="7">
        <v>1654</v>
      </c>
      <c r="AC500" s="7">
        <v>634000</v>
      </c>
      <c r="AD500" s="7">
        <v>412100</v>
      </c>
      <c r="AE500" s="7">
        <v>194596.38</v>
      </c>
      <c r="AF500" s="7">
        <v>446</v>
      </c>
      <c r="AG500" s="7">
        <v>277</v>
      </c>
      <c r="AH500" s="12">
        <v>685</v>
      </c>
    </row>
    <row r="501" spans="1:34" ht="21" hidden="1" x14ac:dyDescent="0.25">
      <c r="A501" s="11">
        <v>12</v>
      </c>
      <c r="B501" s="8" t="s">
        <v>14</v>
      </c>
      <c r="C501" s="7">
        <v>884</v>
      </c>
      <c r="D501" s="8" t="s">
        <v>140</v>
      </c>
      <c r="E501" s="8" t="s">
        <v>169</v>
      </c>
      <c r="F501" s="8" t="s">
        <v>12</v>
      </c>
      <c r="G501" s="7">
        <v>76000</v>
      </c>
      <c r="H501" s="7">
        <v>75</v>
      </c>
      <c r="I501" s="7">
        <v>49</v>
      </c>
      <c r="J501" s="7">
        <v>0</v>
      </c>
      <c r="K501" s="7">
        <v>689.09216200000003</v>
      </c>
      <c r="L501" s="7">
        <v>0</v>
      </c>
      <c r="M501" s="7">
        <v>0</v>
      </c>
      <c r="N501" s="7">
        <v>1</v>
      </c>
      <c r="O501" s="7">
        <v>194596.38</v>
      </c>
      <c r="P501" s="7">
        <v>150209.46789699999</v>
      </c>
      <c r="Q501" s="7">
        <v>0</v>
      </c>
      <c r="R501" s="7">
        <v>22.81</v>
      </c>
      <c r="S501" s="7">
        <v>0</v>
      </c>
      <c r="T501" s="7">
        <v>20</v>
      </c>
      <c r="U501" s="7">
        <v>13</v>
      </c>
      <c r="V501" s="7">
        <v>21</v>
      </c>
      <c r="W501" s="7">
        <v>2.5</v>
      </c>
      <c r="X501" s="7">
        <v>49400</v>
      </c>
      <c r="Y501" s="7">
        <v>0</v>
      </c>
      <c r="Z501" s="7">
        <v>0</v>
      </c>
      <c r="AA501" s="7">
        <v>15.87</v>
      </c>
      <c r="AB501" s="7">
        <v>1654</v>
      </c>
      <c r="AC501" s="7">
        <v>634000</v>
      </c>
      <c r="AD501" s="7">
        <v>412100</v>
      </c>
      <c r="AE501" s="7">
        <v>194596.38</v>
      </c>
      <c r="AF501" s="7">
        <v>446</v>
      </c>
      <c r="AG501" s="7">
        <v>277</v>
      </c>
      <c r="AH501" s="12">
        <v>685</v>
      </c>
    </row>
    <row r="502" spans="1:34" ht="21" hidden="1" x14ac:dyDescent="0.25">
      <c r="A502" s="11">
        <v>5</v>
      </c>
      <c r="B502" s="8" t="s">
        <v>143</v>
      </c>
      <c r="C502" s="7">
        <v>915</v>
      </c>
      <c r="D502" s="8" t="s">
        <v>23</v>
      </c>
      <c r="E502" s="8" t="s">
        <v>169</v>
      </c>
      <c r="F502" s="8" t="s">
        <v>12</v>
      </c>
      <c r="G502" s="7">
        <v>0</v>
      </c>
      <c r="H502" s="7">
        <v>0</v>
      </c>
      <c r="I502" s="7">
        <v>0</v>
      </c>
      <c r="J502" s="7">
        <v>0</v>
      </c>
      <c r="K502" s="7">
        <v>412.389544</v>
      </c>
      <c r="L502" s="7">
        <v>0</v>
      </c>
      <c r="M502" s="7">
        <v>0</v>
      </c>
      <c r="N502" s="7">
        <v>1</v>
      </c>
      <c r="O502" s="7">
        <v>153597.82999999999</v>
      </c>
      <c r="P502" s="7">
        <v>121903.883544</v>
      </c>
      <c r="Q502" s="7">
        <v>0</v>
      </c>
      <c r="R502" s="7">
        <v>20.63</v>
      </c>
      <c r="S502" s="7">
        <v>0</v>
      </c>
      <c r="T502" s="7">
        <v>20</v>
      </c>
      <c r="U502" s="7">
        <v>13</v>
      </c>
      <c r="V502" s="7">
        <v>2</v>
      </c>
      <c r="W502" s="7">
        <v>2</v>
      </c>
      <c r="X502" s="7">
        <v>0</v>
      </c>
      <c r="Y502" s="7">
        <v>603.66</v>
      </c>
      <c r="Z502" s="7">
        <v>0</v>
      </c>
      <c r="AA502" s="7">
        <v>35.04</v>
      </c>
      <c r="AB502" s="7">
        <v>1654</v>
      </c>
      <c r="AC502" s="7">
        <v>332000</v>
      </c>
      <c r="AD502" s="7">
        <v>215800</v>
      </c>
      <c r="AE502" s="7">
        <v>153597.82999999999</v>
      </c>
      <c r="AF502" s="7">
        <v>65</v>
      </c>
      <c r="AG502" s="7">
        <v>79</v>
      </c>
      <c r="AH502" s="12">
        <v>100</v>
      </c>
    </row>
    <row r="503" spans="1:34" ht="21" hidden="1" x14ac:dyDescent="0.25">
      <c r="A503" s="11">
        <v>10</v>
      </c>
      <c r="B503" s="8" t="s">
        <v>180</v>
      </c>
      <c r="C503" s="7">
        <v>922</v>
      </c>
      <c r="D503" s="8" t="s">
        <v>59</v>
      </c>
      <c r="E503" s="8" t="s">
        <v>169</v>
      </c>
      <c r="F503" s="8" t="s">
        <v>12</v>
      </c>
      <c r="G503" s="7">
        <v>70000</v>
      </c>
      <c r="H503" s="7">
        <v>70</v>
      </c>
      <c r="I503" s="7">
        <v>46</v>
      </c>
      <c r="J503" s="7">
        <v>27023.46</v>
      </c>
      <c r="K503" s="7">
        <v>20677.804424000002</v>
      </c>
      <c r="L503" s="7">
        <v>0</v>
      </c>
      <c r="M503" s="7">
        <v>23.48</v>
      </c>
      <c r="N503" s="7">
        <v>14.28</v>
      </c>
      <c r="O503" s="7">
        <v>332009.38</v>
      </c>
      <c r="P503" s="7">
        <v>252895.49786800001</v>
      </c>
      <c r="Q503" s="7">
        <v>0</v>
      </c>
      <c r="R503" s="7">
        <v>23.83</v>
      </c>
      <c r="S503" s="7">
        <v>28</v>
      </c>
      <c r="T503" s="7">
        <v>20</v>
      </c>
      <c r="U503" s="7">
        <v>13</v>
      </c>
      <c r="V503" s="7">
        <v>269</v>
      </c>
      <c r="W503" s="7">
        <v>12.15</v>
      </c>
      <c r="X503" s="7">
        <v>45500</v>
      </c>
      <c r="Y503" s="7">
        <v>0</v>
      </c>
      <c r="Z503" s="7">
        <v>0</v>
      </c>
      <c r="AA503" s="7">
        <v>23.57</v>
      </c>
      <c r="AB503" s="7">
        <v>1654</v>
      </c>
      <c r="AC503" s="7">
        <v>743000</v>
      </c>
      <c r="AD503" s="7">
        <v>482950</v>
      </c>
      <c r="AE503" s="7">
        <v>332009.38</v>
      </c>
      <c r="AF503" s="7">
        <v>351</v>
      </c>
      <c r="AG503" s="7">
        <v>266</v>
      </c>
      <c r="AH503" s="12">
        <v>540</v>
      </c>
    </row>
    <row r="504" spans="1:34" ht="21" hidden="1" x14ac:dyDescent="0.25">
      <c r="A504" s="11">
        <v>4</v>
      </c>
      <c r="B504" s="8" t="s">
        <v>15</v>
      </c>
      <c r="C504" s="7">
        <v>949</v>
      </c>
      <c r="D504" s="8" t="s">
        <v>60</v>
      </c>
      <c r="E504" s="8" t="s">
        <v>169</v>
      </c>
      <c r="F504" s="8" t="s">
        <v>12</v>
      </c>
      <c r="G504" s="7">
        <v>105000</v>
      </c>
      <c r="H504" s="7">
        <v>65</v>
      </c>
      <c r="I504" s="7">
        <v>43</v>
      </c>
      <c r="J504" s="7">
        <v>49662.76</v>
      </c>
      <c r="K504" s="7">
        <v>37008.705534000001</v>
      </c>
      <c r="L504" s="7">
        <v>0</v>
      </c>
      <c r="M504" s="7">
        <v>25.48</v>
      </c>
      <c r="N504" s="7">
        <v>24.18</v>
      </c>
      <c r="O504" s="7">
        <v>245224.17</v>
      </c>
      <c r="P504" s="7">
        <v>179460.27632199999</v>
      </c>
      <c r="Q504" s="7">
        <v>0</v>
      </c>
      <c r="R504" s="7">
        <v>26.82</v>
      </c>
      <c r="S504" s="7">
        <v>32</v>
      </c>
      <c r="T504" s="7">
        <v>20</v>
      </c>
      <c r="U504" s="7">
        <v>13</v>
      </c>
      <c r="V504" s="7">
        <v>466</v>
      </c>
      <c r="W504" s="7">
        <v>14.16</v>
      </c>
      <c r="X504" s="7">
        <v>68250</v>
      </c>
      <c r="Y504" s="7">
        <v>0</v>
      </c>
      <c r="Z504" s="7">
        <v>1</v>
      </c>
      <c r="AA504" s="7">
        <v>23.55</v>
      </c>
      <c r="AB504" s="7">
        <v>1654</v>
      </c>
      <c r="AC504" s="7">
        <v>639000</v>
      </c>
      <c r="AD504" s="7">
        <v>415350</v>
      </c>
      <c r="AE504" s="7">
        <v>245224.17</v>
      </c>
      <c r="AF504" s="7">
        <v>275</v>
      </c>
      <c r="AG504" s="7">
        <v>192</v>
      </c>
      <c r="AH504" s="12">
        <v>423</v>
      </c>
    </row>
    <row r="505" spans="1:34" ht="21" hidden="1" x14ac:dyDescent="0.25">
      <c r="A505" s="11">
        <v>26</v>
      </c>
      <c r="B505" s="8" t="s">
        <v>13</v>
      </c>
      <c r="C505" s="7">
        <v>950</v>
      </c>
      <c r="D505" s="8" t="s">
        <v>61</v>
      </c>
      <c r="E505" s="8" t="s">
        <v>169</v>
      </c>
      <c r="F505" s="8" t="s">
        <v>12</v>
      </c>
      <c r="G505" s="7">
        <v>70000</v>
      </c>
      <c r="H505" s="7">
        <v>60</v>
      </c>
      <c r="I505" s="7">
        <v>39</v>
      </c>
      <c r="J505" s="7">
        <v>41133.03</v>
      </c>
      <c r="K505" s="7">
        <v>31378.642359000001</v>
      </c>
      <c r="L505" s="7">
        <v>0</v>
      </c>
      <c r="M505" s="7">
        <v>23.71</v>
      </c>
      <c r="N505" s="7">
        <v>23.38</v>
      </c>
      <c r="O505" s="7">
        <v>402890.95</v>
      </c>
      <c r="P505" s="7">
        <v>311837.77215999999</v>
      </c>
      <c r="Q505" s="7">
        <v>0</v>
      </c>
      <c r="R505" s="7">
        <v>22.6</v>
      </c>
      <c r="S505" s="7">
        <v>37</v>
      </c>
      <c r="T505" s="7">
        <v>20</v>
      </c>
      <c r="U505" s="7">
        <v>13</v>
      </c>
      <c r="V505" s="7">
        <v>219</v>
      </c>
      <c r="W505" s="7">
        <v>8.6</v>
      </c>
      <c r="X505" s="7">
        <v>45500</v>
      </c>
      <c r="Y505" s="7">
        <v>0</v>
      </c>
      <c r="Z505" s="7">
        <v>0</v>
      </c>
      <c r="AA505" s="7">
        <v>28.26</v>
      </c>
      <c r="AB505" s="7">
        <v>1654</v>
      </c>
      <c r="AC505" s="7">
        <v>790000</v>
      </c>
      <c r="AD505" s="7">
        <v>513500</v>
      </c>
      <c r="AE505" s="7">
        <v>402890.95</v>
      </c>
      <c r="AF505" s="7">
        <v>380</v>
      </c>
      <c r="AG505" s="7">
        <v>299</v>
      </c>
      <c r="AH505" s="12">
        <v>584</v>
      </c>
    </row>
    <row r="506" spans="1:34" ht="21" hidden="1" x14ac:dyDescent="0.25">
      <c r="A506" s="11">
        <v>26</v>
      </c>
      <c r="B506" s="8" t="s">
        <v>13</v>
      </c>
      <c r="C506" s="7">
        <v>962</v>
      </c>
      <c r="D506" s="8" t="s">
        <v>63</v>
      </c>
      <c r="E506" s="8" t="s">
        <v>169</v>
      </c>
      <c r="F506" s="8" t="s">
        <v>12</v>
      </c>
      <c r="G506" s="7">
        <v>45000</v>
      </c>
      <c r="H506" s="7">
        <v>47</v>
      </c>
      <c r="I506" s="7">
        <v>31</v>
      </c>
      <c r="J506" s="7">
        <v>25725.93</v>
      </c>
      <c r="K506" s="7">
        <v>19388.700443999998</v>
      </c>
      <c r="L506" s="7">
        <v>0</v>
      </c>
      <c r="M506" s="7">
        <v>24.63</v>
      </c>
      <c r="N506" s="7">
        <v>19.14</v>
      </c>
      <c r="O506" s="7">
        <v>402890.95</v>
      </c>
      <c r="P506" s="7">
        <v>311837.77215999999</v>
      </c>
      <c r="Q506" s="7">
        <v>0</v>
      </c>
      <c r="R506" s="7">
        <v>22.6</v>
      </c>
      <c r="S506" s="7">
        <v>22</v>
      </c>
      <c r="T506" s="7">
        <v>20</v>
      </c>
      <c r="U506" s="7">
        <v>13</v>
      </c>
      <c r="V506" s="7">
        <v>231</v>
      </c>
      <c r="W506" s="7">
        <v>11.31</v>
      </c>
      <c r="X506" s="7">
        <v>29250</v>
      </c>
      <c r="Y506" s="7">
        <v>0</v>
      </c>
      <c r="Z506" s="7">
        <v>0</v>
      </c>
      <c r="AA506" s="7">
        <v>28.26</v>
      </c>
      <c r="AB506" s="7">
        <v>1654</v>
      </c>
      <c r="AC506" s="7">
        <v>790000</v>
      </c>
      <c r="AD506" s="7">
        <v>513500</v>
      </c>
      <c r="AE506" s="7">
        <v>402890.95</v>
      </c>
      <c r="AF506" s="7">
        <v>380</v>
      </c>
      <c r="AG506" s="7">
        <v>299</v>
      </c>
      <c r="AH506" s="12">
        <v>584</v>
      </c>
    </row>
    <row r="507" spans="1:34" ht="21" hidden="1" x14ac:dyDescent="0.25">
      <c r="A507" s="11">
        <v>4</v>
      </c>
      <c r="B507" s="8" t="s">
        <v>15</v>
      </c>
      <c r="C507" s="7">
        <v>977</v>
      </c>
      <c r="D507" s="8" t="s">
        <v>64</v>
      </c>
      <c r="E507" s="8" t="s">
        <v>169</v>
      </c>
      <c r="F507" s="8" t="s">
        <v>12</v>
      </c>
      <c r="G507" s="7">
        <v>150000</v>
      </c>
      <c r="H507" s="7">
        <v>94</v>
      </c>
      <c r="I507" s="7">
        <v>62</v>
      </c>
      <c r="J507" s="7">
        <v>65051.44</v>
      </c>
      <c r="K507" s="7">
        <v>47187.007789000003</v>
      </c>
      <c r="L507" s="7">
        <v>0</v>
      </c>
      <c r="M507" s="7">
        <v>27.46</v>
      </c>
      <c r="N507" s="7">
        <v>22.73</v>
      </c>
      <c r="O507" s="7">
        <v>245224.17</v>
      </c>
      <c r="P507" s="7">
        <v>179460.27632199999</v>
      </c>
      <c r="Q507" s="7">
        <v>0</v>
      </c>
      <c r="R507" s="7">
        <v>26.82</v>
      </c>
      <c r="S507" s="7">
        <v>42</v>
      </c>
      <c r="T507" s="7">
        <v>20</v>
      </c>
      <c r="U507" s="7">
        <v>13</v>
      </c>
      <c r="V507" s="7">
        <v>515</v>
      </c>
      <c r="W507" s="7">
        <v>16.21</v>
      </c>
      <c r="X507" s="7">
        <v>97500</v>
      </c>
      <c r="Y507" s="7">
        <v>0</v>
      </c>
      <c r="Z507" s="7">
        <v>1</v>
      </c>
      <c r="AA507" s="7">
        <v>23.55</v>
      </c>
      <c r="AB507" s="7">
        <v>1654</v>
      </c>
      <c r="AC507" s="7">
        <v>639000</v>
      </c>
      <c r="AD507" s="7">
        <v>415350</v>
      </c>
      <c r="AE507" s="7">
        <v>245224.17</v>
      </c>
      <c r="AF507" s="7">
        <v>275</v>
      </c>
      <c r="AG507" s="7">
        <v>192</v>
      </c>
      <c r="AH507" s="12">
        <v>423</v>
      </c>
    </row>
    <row r="508" spans="1:34" ht="21" hidden="1" x14ac:dyDescent="0.25">
      <c r="A508" s="11">
        <v>6</v>
      </c>
      <c r="B508" s="8" t="s">
        <v>142</v>
      </c>
      <c r="C508" s="7">
        <v>983</v>
      </c>
      <c r="D508" s="8" t="s">
        <v>138</v>
      </c>
      <c r="E508" s="8" t="s">
        <v>169</v>
      </c>
      <c r="F508" s="8" t="s">
        <v>12</v>
      </c>
      <c r="G508" s="7">
        <v>105000</v>
      </c>
      <c r="H508" s="7">
        <v>100</v>
      </c>
      <c r="I508" s="7">
        <v>65</v>
      </c>
      <c r="J508" s="7">
        <v>63746.78</v>
      </c>
      <c r="K508" s="7">
        <v>49303.620228</v>
      </c>
      <c r="L508" s="7">
        <v>0</v>
      </c>
      <c r="M508" s="7">
        <v>22.66</v>
      </c>
      <c r="N508" s="7">
        <v>16.8</v>
      </c>
      <c r="O508" s="7">
        <v>366742.08</v>
      </c>
      <c r="P508" s="7">
        <v>279745.02127199998</v>
      </c>
      <c r="Q508" s="7">
        <v>0</v>
      </c>
      <c r="R508" s="7">
        <v>23.72</v>
      </c>
      <c r="S508" s="7">
        <v>45</v>
      </c>
      <c r="T508" s="7">
        <v>20</v>
      </c>
      <c r="U508" s="7">
        <v>13</v>
      </c>
      <c r="V508" s="7">
        <v>357</v>
      </c>
      <c r="W508" s="7">
        <v>16.829999999999998</v>
      </c>
      <c r="X508" s="7">
        <v>68250</v>
      </c>
      <c r="Y508" s="7">
        <v>351.84</v>
      </c>
      <c r="Z508" s="7">
        <v>1</v>
      </c>
      <c r="AA508" s="7">
        <v>18.899999999999999</v>
      </c>
      <c r="AB508" s="7">
        <v>1654</v>
      </c>
      <c r="AC508" s="7">
        <v>842000</v>
      </c>
      <c r="AD508" s="7">
        <v>547300</v>
      </c>
      <c r="AE508" s="7">
        <v>366742.08</v>
      </c>
      <c r="AF508" s="7">
        <v>507</v>
      </c>
      <c r="AG508" s="7">
        <v>357</v>
      </c>
      <c r="AH508" s="12">
        <v>780</v>
      </c>
    </row>
    <row r="509" spans="1:34" ht="21" hidden="1" x14ac:dyDescent="0.25">
      <c r="A509" s="11">
        <v>5</v>
      </c>
      <c r="B509" s="8" t="s">
        <v>143</v>
      </c>
      <c r="C509" s="7">
        <v>990</v>
      </c>
      <c r="D509" s="8" t="s">
        <v>136</v>
      </c>
      <c r="E509" s="8" t="s">
        <v>169</v>
      </c>
      <c r="F509" s="8" t="s">
        <v>12</v>
      </c>
      <c r="G509" s="7">
        <v>70000</v>
      </c>
      <c r="H509" s="7">
        <v>20</v>
      </c>
      <c r="I509" s="7">
        <v>13</v>
      </c>
      <c r="J509" s="7">
        <v>17332.41</v>
      </c>
      <c r="K509" s="7">
        <v>14677.384786000001</v>
      </c>
      <c r="L509" s="7">
        <v>0</v>
      </c>
      <c r="M509" s="7">
        <v>15.32</v>
      </c>
      <c r="N509" s="7">
        <v>33.659999999999997</v>
      </c>
      <c r="O509" s="7">
        <v>153597.82999999999</v>
      </c>
      <c r="P509" s="7">
        <v>121903.883544</v>
      </c>
      <c r="Q509" s="7">
        <v>0</v>
      </c>
      <c r="R509" s="7">
        <v>20.63</v>
      </c>
      <c r="S509" s="7">
        <v>8</v>
      </c>
      <c r="T509" s="7">
        <v>20</v>
      </c>
      <c r="U509" s="7">
        <v>13</v>
      </c>
      <c r="V509" s="7">
        <v>21</v>
      </c>
      <c r="W509" s="7">
        <v>4.75</v>
      </c>
      <c r="X509" s="7">
        <v>45500</v>
      </c>
      <c r="Y509" s="7">
        <v>1317.8</v>
      </c>
      <c r="Z509" s="7">
        <v>0</v>
      </c>
      <c r="AA509" s="7">
        <v>35.04</v>
      </c>
      <c r="AB509" s="7">
        <v>1654</v>
      </c>
      <c r="AC509" s="7">
        <v>332000</v>
      </c>
      <c r="AD509" s="7">
        <v>215800</v>
      </c>
      <c r="AE509" s="7">
        <v>153597.82999999999</v>
      </c>
      <c r="AF509" s="7">
        <v>65</v>
      </c>
      <c r="AG509" s="7">
        <v>79</v>
      </c>
      <c r="AH509" s="12">
        <v>100</v>
      </c>
    </row>
    <row r="510" spans="1:34" ht="21" hidden="1" x14ac:dyDescent="0.25">
      <c r="A510" s="11">
        <v>26</v>
      </c>
      <c r="B510" s="8" t="s">
        <v>13</v>
      </c>
      <c r="C510" s="7">
        <v>1023</v>
      </c>
      <c r="D510" s="8" t="s">
        <v>66</v>
      </c>
      <c r="E510" s="8" t="s">
        <v>169</v>
      </c>
      <c r="F510" s="8" t="s">
        <v>12</v>
      </c>
      <c r="G510" s="7">
        <v>85000</v>
      </c>
      <c r="H510" s="7">
        <v>80</v>
      </c>
      <c r="I510" s="7">
        <v>52</v>
      </c>
      <c r="J510" s="7">
        <v>48581.279999999999</v>
      </c>
      <c r="K510" s="7">
        <v>36704.823735999998</v>
      </c>
      <c r="L510" s="7">
        <v>0</v>
      </c>
      <c r="M510" s="7">
        <v>24.45</v>
      </c>
      <c r="N510" s="7">
        <v>24.8</v>
      </c>
      <c r="O510" s="7">
        <v>402890.95</v>
      </c>
      <c r="P510" s="7">
        <v>311837.77215999999</v>
      </c>
      <c r="Q510" s="7">
        <v>0</v>
      </c>
      <c r="R510" s="7">
        <v>22.6</v>
      </c>
      <c r="S510" s="7">
        <v>35</v>
      </c>
      <c r="T510" s="7">
        <v>20</v>
      </c>
      <c r="U510" s="7">
        <v>13</v>
      </c>
      <c r="V510" s="7">
        <v>335</v>
      </c>
      <c r="W510" s="7">
        <v>13.69</v>
      </c>
      <c r="X510" s="7">
        <v>55250</v>
      </c>
      <c r="Y510" s="7">
        <v>4226.0600000000004</v>
      </c>
      <c r="Z510" s="7">
        <v>0</v>
      </c>
      <c r="AA510" s="7">
        <v>28.26</v>
      </c>
      <c r="AB510" s="7">
        <v>1654</v>
      </c>
      <c r="AC510" s="7">
        <v>790000</v>
      </c>
      <c r="AD510" s="7">
        <v>513500</v>
      </c>
      <c r="AE510" s="7">
        <v>402890.95</v>
      </c>
      <c r="AF510" s="7">
        <v>380</v>
      </c>
      <c r="AG510" s="7">
        <v>299</v>
      </c>
      <c r="AH510" s="12">
        <v>584</v>
      </c>
    </row>
    <row r="511" spans="1:34" hidden="1" x14ac:dyDescent="0.25">
      <c r="A511" s="11">
        <v>2</v>
      </c>
      <c r="B511" s="8" t="s">
        <v>10</v>
      </c>
      <c r="C511" s="7">
        <v>1027</v>
      </c>
      <c r="D511" s="8" t="s">
        <v>127</v>
      </c>
      <c r="E511" s="8" t="s">
        <v>169</v>
      </c>
      <c r="F511" s="8" t="s">
        <v>12</v>
      </c>
      <c r="G511" s="7">
        <v>65000</v>
      </c>
      <c r="H511" s="7">
        <v>45</v>
      </c>
      <c r="I511" s="7">
        <v>30</v>
      </c>
      <c r="J511" s="7">
        <v>34793.699999999997</v>
      </c>
      <c r="K511" s="7">
        <v>26250.891551000001</v>
      </c>
      <c r="L511" s="7">
        <v>0</v>
      </c>
      <c r="M511" s="7">
        <v>24.55</v>
      </c>
      <c r="N511" s="7">
        <v>21.3</v>
      </c>
      <c r="O511" s="7">
        <v>488596.11</v>
      </c>
      <c r="P511" s="7">
        <v>370375.51799899997</v>
      </c>
      <c r="Q511" s="7">
        <v>0</v>
      </c>
      <c r="R511" s="7">
        <v>24.2</v>
      </c>
      <c r="S511" s="7">
        <v>27</v>
      </c>
      <c r="T511" s="7">
        <v>20</v>
      </c>
      <c r="U511" s="7">
        <v>13</v>
      </c>
      <c r="V511" s="7">
        <v>296</v>
      </c>
      <c r="W511" s="7">
        <v>13.12</v>
      </c>
      <c r="X511" s="7">
        <v>42250</v>
      </c>
      <c r="Y511" s="7">
        <v>0</v>
      </c>
      <c r="Z511" s="7">
        <v>0</v>
      </c>
      <c r="AA511" s="7">
        <v>23.05</v>
      </c>
      <c r="AB511" s="7">
        <v>1654</v>
      </c>
      <c r="AC511" s="7">
        <v>1000000</v>
      </c>
      <c r="AD511" s="7">
        <v>650000</v>
      </c>
      <c r="AE511" s="7">
        <v>488596.11</v>
      </c>
      <c r="AF511" s="7">
        <v>439</v>
      </c>
      <c r="AG511" s="7">
        <v>312</v>
      </c>
      <c r="AH511" s="12">
        <v>675</v>
      </c>
    </row>
    <row r="512" spans="1:34" ht="21" hidden="1" x14ac:dyDescent="0.25">
      <c r="A512" s="11">
        <v>12</v>
      </c>
      <c r="B512" s="8" t="s">
        <v>14</v>
      </c>
      <c r="C512" s="7">
        <v>1036</v>
      </c>
      <c r="D512" s="8" t="s">
        <v>45</v>
      </c>
      <c r="E512" s="8" t="s">
        <v>169</v>
      </c>
      <c r="F512" s="8" t="s">
        <v>12</v>
      </c>
      <c r="G512" s="7">
        <v>46000</v>
      </c>
      <c r="H512" s="7">
        <v>60</v>
      </c>
      <c r="I512" s="7">
        <v>39</v>
      </c>
      <c r="J512" s="7">
        <v>18498.400000000001</v>
      </c>
      <c r="K512" s="7">
        <v>14250.617147000001</v>
      </c>
      <c r="L512" s="7">
        <v>0</v>
      </c>
      <c r="M512" s="7">
        <v>22.96</v>
      </c>
      <c r="N512" s="7">
        <v>12.27</v>
      </c>
      <c r="O512" s="7">
        <v>194596.38</v>
      </c>
      <c r="P512" s="7">
        <v>150209.46789699999</v>
      </c>
      <c r="Q512" s="7">
        <v>0</v>
      </c>
      <c r="R512" s="7">
        <v>22.81</v>
      </c>
      <c r="S512" s="7">
        <v>25</v>
      </c>
      <c r="T512" s="7">
        <v>20</v>
      </c>
      <c r="U512" s="7">
        <v>13</v>
      </c>
      <c r="V512" s="7">
        <v>107</v>
      </c>
      <c r="W512" s="7">
        <v>7.76</v>
      </c>
      <c r="X512" s="7">
        <v>29900</v>
      </c>
      <c r="Y512" s="7">
        <v>496.47</v>
      </c>
      <c r="Z512" s="7">
        <v>0</v>
      </c>
      <c r="AA512" s="7">
        <v>15.87</v>
      </c>
      <c r="AB512" s="7">
        <v>1654</v>
      </c>
      <c r="AC512" s="7">
        <v>634000</v>
      </c>
      <c r="AD512" s="7">
        <v>412100</v>
      </c>
      <c r="AE512" s="7">
        <v>194596.38</v>
      </c>
      <c r="AF512" s="7">
        <v>446</v>
      </c>
      <c r="AG512" s="7">
        <v>277</v>
      </c>
      <c r="AH512" s="12">
        <v>685</v>
      </c>
    </row>
    <row r="513" spans="1:34" ht="21" hidden="1" x14ac:dyDescent="0.25">
      <c r="A513" s="11">
        <v>12</v>
      </c>
      <c r="B513" s="8" t="s">
        <v>14</v>
      </c>
      <c r="C513" s="7">
        <v>1068</v>
      </c>
      <c r="D513" s="8" t="s">
        <v>67</v>
      </c>
      <c r="E513" s="8" t="s">
        <v>169</v>
      </c>
      <c r="F513" s="8" t="s">
        <v>12</v>
      </c>
      <c r="G513" s="7">
        <v>65000</v>
      </c>
      <c r="H513" s="7">
        <v>60</v>
      </c>
      <c r="I513" s="7">
        <v>39</v>
      </c>
      <c r="J513" s="7">
        <v>34968.93</v>
      </c>
      <c r="K513" s="7">
        <v>26785.264725000001</v>
      </c>
      <c r="L513" s="7">
        <v>0</v>
      </c>
      <c r="M513" s="7">
        <v>23.4</v>
      </c>
      <c r="N513" s="7">
        <v>22.63</v>
      </c>
      <c r="O513" s="7">
        <v>194596.38</v>
      </c>
      <c r="P513" s="7">
        <v>150209.46789699999</v>
      </c>
      <c r="Q513" s="7">
        <v>0</v>
      </c>
      <c r="R513" s="7">
        <v>22.81</v>
      </c>
      <c r="S513" s="7">
        <v>33</v>
      </c>
      <c r="T513" s="7">
        <v>20</v>
      </c>
      <c r="U513" s="7">
        <v>13</v>
      </c>
      <c r="V513" s="7">
        <v>256</v>
      </c>
      <c r="W513" s="7">
        <v>9.9600000000000009</v>
      </c>
      <c r="X513" s="7">
        <v>42250</v>
      </c>
      <c r="Y513" s="7">
        <v>0</v>
      </c>
      <c r="Z513" s="7">
        <v>0</v>
      </c>
      <c r="AA513" s="7">
        <v>15.87</v>
      </c>
      <c r="AB513" s="7">
        <v>1654</v>
      </c>
      <c r="AC513" s="7">
        <v>634000</v>
      </c>
      <c r="AD513" s="7">
        <v>412100</v>
      </c>
      <c r="AE513" s="7">
        <v>194596.38</v>
      </c>
      <c r="AF513" s="7">
        <v>446</v>
      </c>
      <c r="AG513" s="7">
        <v>277</v>
      </c>
      <c r="AH513" s="12">
        <v>685</v>
      </c>
    </row>
    <row r="514" spans="1:34" ht="21" hidden="1" x14ac:dyDescent="0.25">
      <c r="A514" s="11">
        <v>6</v>
      </c>
      <c r="B514" s="8" t="s">
        <v>142</v>
      </c>
      <c r="C514" s="7">
        <v>1237</v>
      </c>
      <c r="D514" s="8" t="s">
        <v>69</v>
      </c>
      <c r="E514" s="8" t="s">
        <v>169</v>
      </c>
      <c r="F514" s="8" t="s">
        <v>12</v>
      </c>
      <c r="G514" s="7">
        <v>0</v>
      </c>
      <c r="H514" s="7">
        <v>0</v>
      </c>
      <c r="I514" s="7">
        <v>0</v>
      </c>
      <c r="J514" s="7">
        <v>3608.23</v>
      </c>
      <c r="K514" s="7">
        <v>2657.1373509999999</v>
      </c>
      <c r="L514" s="7">
        <v>0</v>
      </c>
      <c r="M514" s="7">
        <v>26.36</v>
      </c>
      <c r="N514" s="7">
        <v>23.4</v>
      </c>
      <c r="O514" s="7">
        <v>366742.08</v>
      </c>
      <c r="P514" s="7">
        <v>279745.02127199998</v>
      </c>
      <c r="Q514" s="7">
        <v>0</v>
      </c>
      <c r="R514" s="7">
        <v>23.72</v>
      </c>
      <c r="S514" s="7">
        <v>5</v>
      </c>
      <c r="T514" s="7">
        <v>20</v>
      </c>
      <c r="U514" s="7">
        <v>13</v>
      </c>
      <c r="V514" s="7">
        <v>56</v>
      </c>
      <c r="W514" s="7">
        <v>12.2</v>
      </c>
      <c r="X514" s="7">
        <v>0</v>
      </c>
      <c r="Y514" s="7">
        <v>0</v>
      </c>
      <c r="Z514" s="7">
        <v>0</v>
      </c>
      <c r="AA514" s="7">
        <v>18.899999999999999</v>
      </c>
      <c r="AB514" s="7">
        <v>1654</v>
      </c>
      <c r="AC514" s="7">
        <v>842000</v>
      </c>
      <c r="AD514" s="7">
        <v>547300</v>
      </c>
      <c r="AE514" s="7">
        <v>366742.08</v>
      </c>
      <c r="AF514" s="7">
        <v>507</v>
      </c>
      <c r="AG514" s="7">
        <v>357</v>
      </c>
      <c r="AH514" s="12">
        <v>780</v>
      </c>
    </row>
    <row r="515" spans="1:34" ht="21" hidden="1" x14ac:dyDescent="0.25">
      <c r="A515" s="11">
        <v>26</v>
      </c>
      <c r="B515" s="8" t="s">
        <v>13</v>
      </c>
      <c r="C515" s="7">
        <v>1238</v>
      </c>
      <c r="D515" s="8" t="s">
        <v>70</v>
      </c>
      <c r="E515" s="8" t="s">
        <v>169</v>
      </c>
      <c r="F515" s="8" t="s">
        <v>12</v>
      </c>
      <c r="G515" s="7">
        <v>40000</v>
      </c>
      <c r="H515" s="7">
        <v>13</v>
      </c>
      <c r="I515" s="7">
        <v>9</v>
      </c>
      <c r="J515" s="7">
        <v>17193.740000000002</v>
      </c>
      <c r="K515" s="7">
        <v>13491.397171000001</v>
      </c>
      <c r="L515" s="7">
        <v>0</v>
      </c>
      <c r="M515" s="7">
        <v>21.53</v>
      </c>
      <c r="N515" s="7">
        <v>33.92</v>
      </c>
      <c r="O515" s="7">
        <v>402890.95</v>
      </c>
      <c r="P515" s="7">
        <v>311837.77215999999</v>
      </c>
      <c r="Q515" s="7">
        <v>0</v>
      </c>
      <c r="R515" s="7">
        <v>22.6</v>
      </c>
      <c r="S515" s="7">
        <v>6</v>
      </c>
      <c r="T515" s="7">
        <v>20</v>
      </c>
      <c r="U515" s="7">
        <v>13</v>
      </c>
      <c r="V515" s="7">
        <v>61</v>
      </c>
      <c r="W515" s="7">
        <v>7.6</v>
      </c>
      <c r="X515" s="7">
        <v>26000</v>
      </c>
      <c r="Y515" s="7">
        <v>793.47</v>
      </c>
      <c r="Z515" s="7">
        <v>2</v>
      </c>
      <c r="AA515" s="7">
        <v>28.26</v>
      </c>
      <c r="AB515" s="7">
        <v>1654</v>
      </c>
      <c r="AC515" s="7">
        <v>790000</v>
      </c>
      <c r="AD515" s="7">
        <v>513500</v>
      </c>
      <c r="AE515" s="7">
        <v>402890.95</v>
      </c>
      <c r="AF515" s="7">
        <v>380</v>
      </c>
      <c r="AG515" s="7">
        <v>299</v>
      </c>
      <c r="AH515" s="12">
        <v>584</v>
      </c>
    </row>
    <row r="516" spans="1:34" ht="21" hidden="1" x14ac:dyDescent="0.25">
      <c r="A516" s="11">
        <v>26</v>
      </c>
      <c r="B516" s="8" t="s">
        <v>13</v>
      </c>
      <c r="C516" s="7">
        <v>1265</v>
      </c>
      <c r="D516" s="8" t="s">
        <v>71</v>
      </c>
      <c r="E516" s="8" t="s">
        <v>169</v>
      </c>
      <c r="F516" s="8" t="s">
        <v>12</v>
      </c>
      <c r="G516" s="7">
        <v>100000</v>
      </c>
      <c r="H516" s="7">
        <v>85</v>
      </c>
      <c r="I516" s="7">
        <v>56</v>
      </c>
      <c r="J516" s="7">
        <v>65306.75</v>
      </c>
      <c r="K516" s="7">
        <v>49598.711580000003</v>
      </c>
      <c r="L516" s="7">
        <v>0</v>
      </c>
      <c r="M516" s="7">
        <v>24.05</v>
      </c>
      <c r="N516" s="7">
        <v>24.97</v>
      </c>
      <c r="O516" s="7">
        <v>402890.95</v>
      </c>
      <c r="P516" s="7">
        <v>311837.77215999999</v>
      </c>
      <c r="Q516" s="7">
        <v>0</v>
      </c>
      <c r="R516" s="7">
        <v>22.6</v>
      </c>
      <c r="S516" s="7">
        <v>47</v>
      </c>
      <c r="T516" s="7">
        <v>20</v>
      </c>
      <c r="U516" s="7">
        <v>13</v>
      </c>
      <c r="V516" s="7">
        <v>249</v>
      </c>
      <c r="W516" s="7">
        <v>8.8000000000000007</v>
      </c>
      <c r="X516" s="7">
        <v>65000</v>
      </c>
      <c r="Y516" s="7">
        <v>257.77999999999997</v>
      </c>
      <c r="Z516" s="7">
        <v>1</v>
      </c>
      <c r="AA516" s="7">
        <v>28.26</v>
      </c>
      <c r="AB516" s="7">
        <v>1654</v>
      </c>
      <c r="AC516" s="7">
        <v>790000</v>
      </c>
      <c r="AD516" s="7">
        <v>513500</v>
      </c>
      <c r="AE516" s="7">
        <v>402890.95</v>
      </c>
      <c r="AF516" s="7">
        <v>380</v>
      </c>
      <c r="AG516" s="7">
        <v>299</v>
      </c>
      <c r="AH516" s="12">
        <v>584</v>
      </c>
    </row>
    <row r="517" spans="1:34" ht="21" hidden="1" x14ac:dyDescent="0.25">
      <c r="A517" s="11">
        <v>10</v>
      </c>
      <c r="B517" s="8" t="s">
        <v>180</v>
      </c>
      <c r="C517" s="7">
        <v>1271</v>
      </c>
      <c r="D517" s="8" t="s">
        <v>72</v>
      </c>
      <c r="E517" s="8" t="s">
        <v>169</v>
      </c>
      <c r="F517" s="8" t="s">
        <v>12</v>
      </c>
      <c r="G517" s="7">
        <v>130000</v>
      </c>
      <c r="H517" s="7">
        <v>85</v>
      </c>
      <c r="I517" s="7">
        <v>56</v>
      </c>
      <c r="J517" s="7">
        <v>25930.21</v>
      </c>
      <c r="K517" s="7">
        <v>19751.287555999999</v>
      </c>
      <c r="L517" s="7">
        <v>0</v>
      </c>
      <c r="M517" s="7">
        <v>23.83</v>
      </c>
      <c r="N517" s="7">
        <v>9.8000000000000007</v>
      </c>
      <c r="O517" s="7">
        <v>332009.38</v>
      </c>
      <c r="P517" s="7">
        <v>252895.49786800001</v>
      </c>
      <c r="Q517" s="7">
        <v>0</v>
      </c>
      <c r="R517" s="7">
        <v>23.83</v>
      </c>
      <c r="S517" s="7">
        <v>31</v>
      </c>
      <c r="T517" s="7">
        <v>20</v>
      </c>
      <c r="U517" s="7">
        <v>13</v>
      </c>
      <c r="V517" s="7">
        <v>228</v>
      </c>
      <c r="W517" s="7">
        <v>8.7899999999999991</v>
      </c>
      <c r="X517" s="7">
        <v>84500</v>
      </c>
      <c r="Y517" s="7">
        <v>64.8</v>
      </c>
      <c r="Z517" s="7">
        <v>0</v>
      </c>
      <c r="AA517" s="7">
        <v>23.57</v>
      </c>
      <c r="AB517" s="7">
        <v>1654</v>
      </c>
      <c r="AC517" s="7">
        <v>743000</v>
      </c>
      <c r="AD517" s="7">
        <v>482950</v>
      </c>
      <c r="AE517" s="7">
        <v>332009.38</v>
      </c>
      <c r="AF517" s="7">
        <v>351</v>
      </c>
      <c r="AG517" s="7">
        <v>266</v>
      </c>
      <c r="AH517" s="12">
        <v>540</v>
      </c>
    </row>
    <row r="518" spans="1:34" hidden="1" x14ac:dyDescent="0.25">
      <c r="A518" s="11">
        <v>2</v>
      </c>
      <c r="B518" s="8" t="s">
        <v>10</v>
      </c>
      <c r="C518" s="7">
        <v>1280</v>
      </c>
      <c r="D518" s="8" t="s">
        <v>73</v>
      </c>
      <c r="E518" s="8" t="s">
        <v>169</v>
      </c>
      <c r="F518" s="8" t="s">
        <v>12</v>
      </c>
      <c r="G518" s="7">
        <v>80000</v>
      </c>
      <c r="H518" s="7">
        <v>55</v>
      </c>
      <c r="I518" s="7">
        <v>36</v>
      </c>
      <c r="J518" s="7">
        <v>56101.89</v>
      </c>
      <c r="K518" s="7">
        <v>39931.110111000002</v>
      </c>
      <c r="L518" s="7">
        <v>0</v>
      </c>
      <c r="M518" s="7">
        <v>28.82</v>
      </c>
      <c r="N518" s="7">
        <v>21.19</v>
      </c>
      <c r="O518" s="7">
        <v>488596.11</v>
      </c>
      <c r="P518" s="7">
        <v>370375.51799899997</v>
      </c>
      <c r="Q518" s="7">
        <v>0</v>
      </c>
      <c r="R518" s="7">
        <v>24.2</v>
      </c>
      <c r="S518" s="7">
        <v>22</v>
      </c>
      <c r="T518" s="7">
        <v>20</v>
      </c>
      <c r="U518" s="7">
        <v>13</v>
      </c>
      <c r="V518" s="7">
        <v>353</v>
      </c>
      <c r="W518" s="7">
        <v>16.5</v>
      </c>
      <c r="X518" s="7">
        <v>52000</v>
      </c>
      <c r="Y518" s="7">
        <v>241.44</v>
      </c>
      <c r="Z518" s="7">
        <v>0</v>
      </c>
      <c r="AA518" s="7">
        <v>23.05</v>
      </c>
      <c r="AB518" s="7">
        <v>1654</v>
      </c>
      <c r="AC518" s="7">
        <v>1000000</v>
      </c>
      <c r="AD518" s="7">
        <v>650000</v>
      </c>
      <c r="AE518" s="7">
        <v>488596.11</v>
      </c>
      <c r="AF518" s="7">
        <v>439</v>
      </c>
      <c r="AG518" s="7">
        <v>312</v>
      </c>
      <c r="AH518" s="12">
        <v>675</v>
      </c>
    </row>
    <row r="519" spans="1:34" ht="21" hidden="1" x14ac:dyDescent="0.25">
      <c r="A519" s="11">
        <v>17</v>
      </c>
      <c r="B519" s="8" t="s">
        <v>16</v>
      </c>
      <c r="C519" s="7">
        <v>1292</v>
      </c>
      <c r="D519" s="8" t="s">
        <v>74</v>
      </c>
      <c r="E519" s="8" t="s">
        <v>169</v>
      </c>
      <c r="F519" s="8" t="s">
        <v>12</v>
      </c>
      <c r="G519" s="7">
        <v>100000</v>
      </c>
      <c r="H519" s="7">
        <v>55</v>
      </c>
      <c r="I519" s="7">
        <v>36</v>
      </c>
      <c r="J519" s="7">
        <v>29907.39</v>
      </c>
      <c r="K519" s="7">
        <v>21272.696682999998</v>
      </c>
      <c r="L519" s="7">
        <v>0</v>
      </c>
      <c r="M519" s="7">
        <v>28.87</v>
      </c>
      <c r="N519" s="7">
        <v>22.58</v>
      </c>
      <c r="O519" s="7">
        <v>172830.32</v>
      </c>
      <c r="P519" s="7">
        <v>124747.158641</v>
      </c>
      <c r="Q519" s="7">
        <v>0</v>
      </c>
      <c r="R519" s="7">
        <v>27.82</v>
      </c>
      <c r="S519" s="7">
        <v>21</v>
      </c>
      <c r="T519" s="7">
        <v>20</v>
      </c>
      <c r="U519" s="7">
        <v>13</v>
      </c>
      <c r="V519" s="7">
        <v>215</v>
      </c>
      <c r="W519" s="7">
        <v>13.33</v>
      </c>
      <c r="X519" s="7">
        <v>65000</v>
      </c>
      <c r="Y519" s="7">
        <v>0</v>
      </c>
      <c r="Z519" s="7">
        <v>0</v>
      </c>
      <c r="AA519" s="7">
        <v>22.48</v>
      </c>
      <c r="AB519" s="7">
        <v>1654</v>
      </c>
      <c r="AC519" s="7">
        <v>510000</v>
      </c>
      <c r="AD519" s="7">
        <v>331500</v>
      </c>
      <c r="AE519" s="7">
        <v>172830.32</v>
      </c>
      <c r="AF519" s="7">
        <v>182</v>
      </c>
      <c r="AG519" s="7">
        <v>112</v>
      </c>
      <c r="AH519" s="12">
        <v>280</v>
      </c>
    </row>
    <row r="520" spans="1:34" ht="21" hidden="1" x14ac:dyDescent="0.25">
      <c r="A520" s="11">
        <v>6</v>
      </c>
      <c r="B520" s="8" t="s">
        <v>142</v>
      </c>
      <c r="C520" s="7">
        <v>1337</v>
      </c>
      <c r="D520" s="8" t="s">
        <v>128</v>
      </c>
      <c r="E520" s="8" t="s">
        <v>169</v>
      </c>
      <c r="F520" s="8" t="s">
        <v>12</v>
      </c>
      <c r="G520" s="7">
        <v>65000</v>
      </c>
      <c r="H520" s="7">
        <v>61</v>
      </c>
      <c r="I520" s="7">
        <v>40</v>
      </c>
      <c r="J520" s="7">
        <v>24415.75</v>
      </c>
      <c r="K520" s="7">
        <v>18548.449282000001</v>
      </c>
      <c r="L520" s="7">
        <v>0</v>
      </c>
      <c r="M520" s="7">
        <v>24.03</v>
      </c>
      <c r="N520" s="7">
        <v>18.77</v>
      </c>
      <c r="O520" s="7">
        <v>366742.08</v>
      </c>
      <c r="P520" s="7">
        <v>279745.02127199998</v>
      </c>
      <c r="Q520" s="7">
        <v>0</v>
      </c>
      <c r="R520" s="7">
        <v>23.72</v>
      </c>
      <c r="S520" s="7">
        <v>24</v>
      </c>
      <c r="T520" s="7">
        <v>20</v>
      </c>
      <c r="U520" s="7">
        <v>13</v>
      </c>
      <c r="V520" s="7">
        <v>132</v>
      </c>
      <c r="W520" s="7">
        <v>10.93</v>
      </c>
      <c r="X520" s="7">
        <v>42250</v>
      </c>
      <c r="Y520" s="7">
        <v>38.799999999999997</v>
      </c>
      <c r="Z520" s="7">
        <v>1</v>
      </c>
      <c r="AA520" s="7">
        <v>18.899999999999999</v>
      </c>
      <c r="AB520" s="7">
        <v>1654</v>
      </c>
      <c r="AC520" s="7">
        <v>842000</v>
      </c>
      <c r="AD520" s="7">
        <v>547300</v>
      </c>
      <c r="AE520" s="7">
        <v>366742.08</v>
      </c>
      <c r="AF520" s="7">
        <v>507</v>
      </c>
      <c r="AG520" s="7">
        <v>357</v>
      </c>
      <c r="AH520" s="12">
        <v>780</v>
      </c>
    </row>
    <row r="521" spans="1:34" ht="21" hidden="1" x14ac:dyDescent="0.25">
      <c r="A521" s="11">
        <v>17</v>
      </c>
      <c r="B521" s="8" t="s">
        <v>16</v>
      </c>
      <c r="C521" s="7">
        <v>1343</v>
      </c>
      <c r="D521" s="8" t="s">
        <v>76</v>
      </c>
      <c r="E521" s="8" t="s">
        <v>169</v>
      </c>
      <c r="F521" s="8" t="s">
        <v>12</v>
      </c>
      <c r="G521" s="7">
        <v>40000</v>
      </c>
      <c r="H521" s="7">
        <v>1</v>
      </c>
      <c r="I521" s="7">
        <v>1</v>
      </c>
      <c r="J521" s="7">
        <v>5159.0600000000004</v>
      </c>
      <c r="K521" s="7">
        <v>3493.7579909999999</v>
      </c>
      <c r="L521" s="7">
        <v>0</v>
      </c>
      <c r="M521" s="7">
        <v>32.28</v>
      </c>
      <c r="N521" s="7">
        <v>28</v>
      </c>
      <c r="O521" s="7">
        <v>172830.32</v>
      </c>
      <c r="P521" s="7">
        <v>124747.158641</v>
      </c>
      <c r="Q521" s="7">
        <v>0</v>
      </c>
      <c r="R521" s="7">
        <v>27.82</v>
      </c>
      <c r="S521" s="7">
        <v>1</v>
      </c>
      <c r="T521" s="7">
        <v>20</v>
      </c>
      <c r="U521" s="7">
        <v>13</v>
      </c>
      <c r="V521" s="7">
        <v>72</v>
      </c>
      <c r="W521" s="7">
        <v>72</v>
      </c>
      <c r="X521" s="7">
        <v>26000</v>
      </c>
      <c r="Y521" s="7">
        <v>0</v>
      </c>
      <c r="Z521" s="7">
        <v>0</v>
      </c>
      <c r="AA521" s="7">
        <v>22.48</v>
      </c>
      <c r="AB521" s="7">
        <v>1654</v>
      </c>
      <c r="AC521" s="7">
        <v>510000</v>
      </c>
      <c r="AD521" s="7">
        <v>331500</v>
      </c>
      <c r="AE521" s="7">
        <v>172830.32</v>
      </c>
      <c r="AF521" s="7">
        <v>182</v>
      </c>
      <c r="AG521" s="7">
        <v>112</v>
      </c>
      <c r="AH521" s="12">
        <v>280</v>
      </c>
    </row>
    <row r="522" spans="1:34" ht="21" hidden="1" x14ac:dyDescent="0.25">
      <c r="A522" s="11">
        <v>6</v>
      </c>
      <c r="B522" s="8" t="s">
        <v>142</v>
      </c>
      <c r="C522" s="7">
        <v>1385</v>
      </c>
      <c r="D522" s="8" t="s">
        <v>78</v>
      </c>
      <c r="E522" s="8" t="s">
        <v>169</v>
      </c>
      <c r="F522" s="8" t="s">
        <v>12</v>
      </c>
      <c r="G522" s="7">
        <v>75000</v>
      </c>
      <c r="H522" s="7">
        <v>77</v>
      </c>
      <c r="I522" s="7">
        <v>51</v>
      </c>
      <c r="J522" s="7">
        <v>57946.8</v>
      </c>
      <c r="K522" s="7">
        <v>43726.567052999999</v>
      </c>
      <c r="L522" s="7">
        <v>0</v>
      </c>
      <c r="M522" s="7">
        <v>24.54</v>
      </c>
      <c r="N522" s="7">
        <v>22.34</v>
      </c>
      <c r="O522" s="7">
        <v>366742.08</v>
      </c>
      <c r="P522" s="7">
        <v>279745.02127199998</v>
      </c>
      <c r="Q522" s="7">
        <v>0</v>
      </c>
      <c r="R522" s="7">
        <v>23.72</v>
      </c>
      <c r="S522" s="7">
        <v>47</v>
      </c>
      <c r="T522" s="7">
        <v>20</v>
      </c>
      <c r="U522" s="7">
        <v>13</v>
      </c>
      <c r="V522" s="7">
        <v>430</v>
      </c>
      <c r="W522" s="7">
        <v>14.77</v>
      </c>
      <c r="X522" s="7">
        <v>48750</v>
      </c>
      <c r="Y522" s="7">
        <v>524.64</v>
      </c>
      <c r="Z522" s="7">
        <v>0</v>
      </c>
      <c r="AA522" s="7">
        <v>18.899999999999999</v>
      </c>
      <c r="AB522" s="7">
        <v>1654</v>
      </c>
      <c r="AC522" s="7">
        <v>842000</v>
      </c>
      <c r="AD522" s="7">
        <v>547300</v>
      </c>
      <c r="AE522" s="7">
        <v>366742.08</v>
      </c>
      <c r="AF522" s="7">
        <v>507</v>
      </c>
      <c r="AG522" s="7">
        <v>357</v>
      </c>
      <c r="AH522" s="12">
        <v>780</v>
      </c>
    </row>
    <row r="523" spans="1:34" ht="21" hidden="1" x14ac:dyDescent="0.25">
      <c r="A523" s="11">
        <v>12</v>
      </c>
      <c r="B523" s="8" t="s">
        <v>14</v>
      </c>
      <c r="C523" s="7">
        <v>1390</v>
      </c>
      <c r="D523" s="8" t="s">
        <v>80</v>
      </c>
      <c r="E523" s="8" t="s">
        <v>169</v>
      </c>
      <c r="F523" s="8" t="s">
        <v>12</v>
      </c>
      <c r="G523" s="7">
        <v>55000</v>
      </c>
      <c r="H523" s="7">
        <v>60</v>
      </c>
      <c r="I523" s="7">
        <v>39</v>
      </c>
      <c r="J523" s="7">
        <v>15498.43</v>
      </c>
      <c r="K523" s="7">
        <v>11735.429405000001</v>
      </c>
      <c r="L523" s="7">
        <v>0</v>
      </c>
      <c r="M523" s="7">
        <v>24.28</v>
      </c>
      <c r="N523" s="7">
        <v>15.79</v>
      </c>
      <c r="O523" s="7">
        <v>194596.38</v>
      </c>
      <c r="P523" s="7">
        <v>150209.46789699999</v>
      </c>
      <c r="Q523" s="7">
        <v>0</v>
      </c>
      <c r="R523" s="7">
        <v>22.81</v>
      </c>
      <c r="S523" s="7">
        <v>32</v>
      </c>
      <c r="T523" s="7">
        <v>20</v>
      </c>
      <c r="U523" s="7">
        <v>13</v>
      </c>
      <c r="V523" s="7">
        <v>141</v>
      </c>
      <c r="W523" s="7">
        <v>8.44</v>
      </c>
      <c r="X523" s="7">
        <v>35750</v>
      </c>
      <c r="Y523" s="7">
        <v>3.7</v>
      </c>
      <c r="Z523" s="7">
        <v>1</v>
      </c>
      <c r="AA523" s="7">
        <v>15.87</v>
      </c>
      <c r="AB523" s="7">
        <v>1654</v>
      </c>
      <c r="AC523" s="7">
        <v>634000</v>
      </c>
      <c r="AD523" s="7">
        <v>412100</v>
      </c>
      <c r="AE523" s="7">
        <v>194596.38</v>
      </c>
      <c r="AF523" s="7">
        <v>446</v>
      </c>
      <c r="AG523" s="7">
        <v>277</v>
      </c>
      <c r="AH523" s="12">
        <v>685</v>
      </c>
    </row>
    <row r="524" spans="1:34" ht="21" hidden="1" x14ac:dyDescent="0.25">
      <c r="A524" s="11">
        <v>26</v>
      </c>
      <c r="B524" s="8" t="s">
        <v>13</v>
      </c>
      <c r="C524" s="7">
        <v>1394</v>
      </c>
      <c r="D524" s="8" t="s">
        <v>81</v>
      </c>
      <c r="E524" s="8" t="s">
        <v>169</v>
      </c>
      <c r="F524" s="8" t="s">
        <v>12</v>
      </c>
      <c r="G524" s="7">
        <v>45000</v>
      </c>
      <c r="H524" s="7">
        <v>55</v>
      </c>
      <c r="I524" s="7">
        <v>36</v>
      </c>
      <c r="J524" s="7">
        <v>20364.84</v>
      </c>
      <c r="K524" s="7">
        <v>15772.355462</v>
      </c>
      <c r="L524" s="7">
        <v>0</v>
      </c>
      <c r="M524" s="7">
        <v>22.55</v>
      </c>
      <c r="N524" s="7">
        <v>20.78</v>
      </c>
      <c r="O524" s="7">
        <v>402890.95</v>
      </c>
      <c r="P524" s="7">
        <v>311837.77215999999</v>
      </c>
      <c r="Q524" s="7">
        <v>0</v>
      </c>
      <c r="R524" s="7">
        <v>22.6</v>
      </c>
      <c r="S524" s="7">
        <v>28</v>
      </c>
      <c r="T524" s="7">
        <v>20</v>
      </c>
      <c r="U524" s="7">
        <v>13</v>
      </c>
      <c r="V524" s="7">
        <v>188</v>
      </c>
      <c r="W524" s="7">
        <v>10.31</v>
      </c>
      <c r="X524" s="7">
        <v>29250</v>
      </c>
      <c r="Y524" s="7">
        <v>114.32</v>
      </c>
      <c r="Z524" s="7">
        <v>0</v>
      </c>
      <c r="AA524" s="7">
        <v>28.26</v>
      </c>
      <c r="AB524" s="7">
        <v>1654</v>
      </c>
      <c r="AC524" s="7">
        <v>790000</v>
      </c>
      <c r="AD524" s="7">
        <v>513500</v>
      </c>
      <c r="AE524" s="7">
        <v>402890.95</v>
      </c>
      <c r="AF524" s="7">
        <v>380</v>
      </c>
      <c r="AG524" s="7">
        <v>299</v>
      </c>
      <c r="AH524" s="12">
        <v>584</v>
      </c>
    </row>
    <row r="525" spans="1:34" ht="21" hidden="1" x14ac:dyDescent="0.25">
      <c r="A525" s="11">
        <v>12</v>
      </c>
      <c r="B525" s="8" t="s">
        <v>14</v>
      </c>
      <c r="C525" s="7">
        <v>1402</v>
      </c>
      <c r="D525" s="8" t="s">
        <v>82</v>
      </c>
      <c r="E525" s="8" t="s">
        <v>169</v>
      </c>
      <c r="F525" s="8" t="s">
        <v>12</v>
      </c>
      <c r="G525" s="7">
        <v>50000</v>
      </c>
      <c r="H525" s="7">
        <v>60</v>
      </c>
      <c r="I525" s="7">
        <v>39</v>
      </c>
      <c r="J525" s="7">
        <v>4034.17</v>
      </c>
      <c r="K525" s="7">
        <v>3016.8068069999999</v>
      </c>
      <c r="L525" s="7">
        <v>0</v>
      </c>
      <c r="M525" s="7">
        <v>25.22</v>
      </c>
      <c r="N525" s="7">
        <v>9.56</v>
      </c>
      <c r="O525" s="7">
        <v>194596.38</v>
      </c>
      <c r="P525" s="7">
        <v>150209.46789699999</v>
      </c>
      <c r="Q525" s="7">
        <v>0</v>
      </c>
      <c r="R525" s="7">
        <v>22.81</v>
      </c>
      <c r="S525" s="7">
        <v>9</v>
      </c>
      <c r="T525" s="7">
        <v>20</v>
      </c>
      <c r="U525" s="7">
        <v>13</v>
      </c>
      <c r="V525" s="7">
        <v>27</v>
      </c>
      <c r="W525" s="7">
        <v>2.9</v>
      </c>
      <c r="X525" s="7">
        <v>32500</v>
      </c>
      <c r="Y525" s="7">
        <v>237.75</v>
      </c>
      <c r="Z525" s="7">
        <v>0</v>
      </c>
      <c r="AA525" s="7">
        <v>15.87</v>
      </c>
      <c r="AB525" s="7">
        <v>1654</v>
      </c>
      <c r="AC525" s="7">
        <v>634000</v>
      </c>
      <c r="AD525" s="7">
        <v>412100</v>
      </c>
      <c r="AE525" s="7">
        <v>194596.38</v>
      </c>
      <c r="AF525" s="7">
        <v>446</v>
      </c>
      <c r="AG525" s="7">
        <v>277</v>
      </c>
      <c r="AH525" s="12">
        <v>685</v>
      </c>
    </row>
    <row r="526" spans="1:34" ht="21" hidden="1" x14ac:dyDescent="0.25">
      <c r="A526" s="11">
        <v>17</v>
      </c>
      <c r="B526" s="8" t="s">
        <v>16</v>
      </c>
      <c r="C526" s="7">
        <v>1431</v>
      </c>
      <c r="D526" s="8" t="s">
        <v>49</v>
      </c>
      <c r="E526" s="8" t="s">
        <v>169</v>
      </c>
      <c r="F526" s="8" t="s">
        <v>12</v>
      </c>
      <c r="G526" s="7">
        <v>50000</v>
      </c>
      <c r="H526" s="7">
        <v>30</v>
      </c>
      <c r="I526" s="7">
        <v>20</v>
      </c>
      <c r="J526" s="7">
        <v>10111.61</v>
      </c>
      <c r="K526" s="7">
        <v>7544.9081829999996</v>
      </c>
      <c r="L526" s="7">
        <v>0</v>
      </c>
      <c r="M526" s="7">
        <v>25.38</v>
      </c>
      <c r="N526" s="7">
        <v>25.73</v>
      </c>
      <c r="O526" s="7">
        <v>172830.32</v>
      </c>
      <c r="P526" s="7">
        <v>124747.158641</v>
      </c>
      <c r="Q526" s="7">
        <v>0</v>
      </c>
      <c r="R526" s="7">
        <v>27.82</v>
      </c>
      <c r="S526" s="7">
        <v>8</v>
      </c>
      <c r="T526" s="7">
        <v>20</v>
      </c>
      <c r="U526" s="7">
        <v>13</v>
      </c>
      <c r="V526" s="7">
        <v>115</v>
      </c>
      <c r="W526" s="7">
        <v>12.09</v>
      </c>
      <c r="X526" s="7">
        <v>32500</v>
      </c>
      <c r="Y526" s="7">
        <v>0</v>
      </c>
      <c r="Z526" s="7">
        <v>0</v>
      </c>
      <c r="AA526" s="7">
        <v>22.48</v>
      </c>
      <c r="AB526" s="7">
        <v>1654</v>
      </c>
      <c r="AC526" s="7">
        <v>510000</v>
      </c>
      <c r="AD526" s="7">
        <v>331500</v>
      </c>
      <c r="AE526" s="7">
        <v>172830.32</v>
      </c>
      <c r="AF526" s="7">
        <v>182</v>
      </c>
      <c r="AG526" s="7">
        <v>112</v>
      </c>
      <c r="AH526" s="12">
        <v>280</v>
      </c>
    </row>
    <row r="527" spans="1:34" ht="21" hidden="1" x14ac:dyDescent="0.25">
      <c r="A527" s="11">
        <v>10</v>
      </c>
      <c r="B527" s="8" t="s">
        <v>180</v>
      </c>
      <c r="C527" s="7">
        <v>1450</v>
      </c>
      <c r="D527" s="8" t="s">
        <v>86</v>
      </c>
      <c r="E527" s="8" t="s">
        <v>169</v>
      </c>
      <c r="F527" s="8" t="s">
        <v>12</v>
      </c>
      <c r="G527" s="7">
        <v>80000</v>
      </c>
      <c r="H527" s="7">
        <v>70</v>
      </c>
      <c r="I527" s="7">
        <v>46</v>
      </c>
      <c r="J527" s="7">
        <v>56631.43</v>
      </c>
      <c r="K527" s="7">
        <v>43065.578894999999</v>
      </c>
      <c r="L527" s="7">
        <v>0</v>
      </c>
      <c r="M527" s="7">
        <v>23.95</v>
      </c>
      <c r="N527" s="7">
        <v>22.87</v>
      </c>
      <c r="O527" s="7">
        <v>332009.38</v>
      </c>
      <c r="P527" s="7">
        <v>252895.49786800001</v>
      </c>
      <c r="Q527" s="7">
        <v>0</v>
      </c>
      <c r="R527" s="7">
        <v>23.83</v>
      </c>
      <c r="S527" s="7">
        <v>41</v>
      </c>
      <c r="T527" s="7">
        <v>20</v>
      </c>
      <c r="U527" s="7">
        <v>13</v>
      </c>
      <c r="V527" s="7">
        <v>395</v>
      </c>
      <c r="W527" s="7">
        <v>13.35</v>
      </c>
      <c r="X527" s="7">
        <v>52000</v>
      </c>
      <c r="Y527" s="7">
        <v>295.2</v>
      </c>
      <c r="Z527" s="7">
        <v>0</v>
      </c>
      <c r="AA527" s="7">
        <v>23.57</v>
      </c>
      <c r="AB527" s="7">
        <v>1654</v>
      </c>
      <c r="AC527" s="7">
        <v>743000</v>
      </c>
      <c r="AD527" s="7">
        <v>482950</v>
      </c>
      <c r="AE527" s="7">
        <v>332009.38</v>
      </c>
      <c r="AF527" s="7">
        <v>351</v>
      </c>
      <c r="AG527" s="7">
        <v>266</v>
      </c>
      <c r="AH527" s="12">
        <v>540</v>
      </c>
    </row>
    <row r="528" spans="1:34" hidden="1" x14ac:dyDescent="0.25">
      <c r="A528" s="11">
        <v>2</v>
      </c>
      <c r="B528" s="8" t="s">
        <v>10</v>
      </c>
      <c r="C528" s="7">
        <v>1457</v>
      </c>
      <c r="D528" s="8" t="s">
        <v>42</v>
      </c>
      <c r="E528" s="8" t="s">
        <v>169</v>
      </c>
      <c r="F528" s="8" t="s">
        <v>12</v>
      </c>
      <c r="G528" s="7">
        <v>80000</v>
      </c>
      <c r="H528" s="7">
        <v>65</v>
      </c>
      <c r="I528" s="7">
        <v>43</v>
      </c>
      <c r="J528" s="7">
        <v>39430.46</v>
      </c>
      <c r="K528" s="7">
        <v>30211.764977999999</v>
      </c>
      <c r="L528" s="7">
        <v>0</v>
      </c>
      <c r="M528" s="7">
        <v>23.38</v>
      </c>
      <c r="N528" s="7">
        <v>27.15</v>
      </c>
      <c r="O528" s="7">
        <v>488596.11</v>
      </c>
      <c r="P528" s="7">
        <v>370375.51799899997</v>
      </c>
      <c r="Q528" s="7">
        <v>0</v>
      </c>
      <c r="R528" s="7">
        <v>24.2</v>
      </c>
      <c r="S528" s="7">
        <v>23</v>
      </c>
      <c r="T528" s="7">
        <v>20</v>
      </c>
      <c r="U528" s="7">
        <v>13</v>
      </c>
      <c r="V528" s="7">
        <v>248</v>
      </c>
      <c r="W528" s="7">
        <v>15.61</v>
      </c>
      <c r="X528" s="7">
        <v>52000</v>
      </c>
      <c r="Y528" s="7">
        <v>2323.5100000000002</v>
      </c>
      <c r="Z528" s="7">
        <v>1</v>
      </c>
      <c r="AA528" s="7">
        <v>23.05</v>
      </c>
      <c r="AB528" s="7">
        <v>1654</v>
      </c>
      <c r="AC528" s="7">
        <v>1000000</v>
      </c>
      <c r="AD528" s="7">
        <v>650000</v>
      </c>
      <c r="AE528" s="7">
        <v>488596.11</v>
      </c>
      <c r="AF528" s="7">
        <v>439</v>
      </c>
      <c r="AG528" s="7">
        <v>312</v>
      </c>
      <c r="AH528" s="12">
        <v>675</v>
      </c>
    </row>
    <row r="529" spans="1:34" ht="21" hidden="1" x14ac:dyDescent="0.25">
      <c r="A529" s="11">
        <v>6</v>
      </c>
      <c r="B529" s="8" t="s">
        <v>142</v>
      </c>
      <c r="C529" s="7">
        <v>1466</v>
      </c>
      <c r="D529" s="8" t="s">
        <v>87</v>
      </c>
      <c r="E529" s="8" t="s">
        <v>169</v>
      </c>
      <c r="F529" s="8" t="s">
        <v>12</v>
      </c>
      <c r="G529" s="7">
        <v>105000</v>
      </c>
      <c r="H529" s="7">
        <v>90</v>
      </c>
      <c r="I529" s="7">
        <v>59</v>
      </c>
      <c r="J529" s="7">
        <v>30401.39</v>
      </c>
      <c r="K529" s="7">
        <v>23936.821864000001</v>
      </c>
      <c r="L529" s="7">
        <v>0</v>
      </c>
      <c r="M529" s="7">
        <v>21.26</v>
      </c>
      <c r="N529" s="7">
        <v>20.92</v>
      </c>
      <c r="O529" s="7">
        <v>366742.08</v>
      </c>
      <c r="P529" s="7">
        <v>279745.02127199998</v>
      </c>
      <c r="Q529" s="7">
        <v>0</v>
      </c>
      <c r="R529" s="7">
        <v>23.72</v>
      </c>
      <c r="S529" s="7">
        <v>24</v>
      </c>
      <c r="T529" s="7">
        <v>20</v>
      </c>
      <c r="U529" s="7">
        <v>13</v>
      </c>
      <c r="V529" s="7">
        <v>227</v>
      </c>
      <c r="W529" s="7">
        <v>9.94</v>
      </c>
      <c r="X529" s="7">
        <v>68250</v>
      </c>
      <c r="Y529" s="7">
        <v>1039.53</v>
      </c>
      <c r="Z529" s="7">
        <v>1</v>
      </c>
      <c r="AA529" s="7">
        <v>18.899999999999999</v>
      </c>
      <c r="AB529" s="7">
        <v>1654</v>
      </c>
      <c r="AC529" s="7">
        <v>842000</v>
      </c>
      <c r="AD529" s="7">
        <v>547300</v>
      </c>
      <c r="AE529" s="7">
        <v>366742.08</v>
      </c>
      <c r="AF529" s="7">
        <v>507</v>
      </c>
      <c r="AG529" s="7">
        <v>357</v>
      </c>
      <c r="AH529" s="12">
        <v>780</v>
      </c>
    </row>
    <row r="530" spans="1:34" ht="21" hidden="1" x14ac:dyDescent="0.25">
      <c r="A530" s="11">
        <v>4</v>
      </c>
      <c r="B530" s="8" t="s">
        <v>15</v>
      </c>
      <c r="C530" s="7">
        <v>1473</v>
      </c>
      <c r="D530" s="8" t="s">
        <v>88</v>
      </c>
      <c r="E530" s="8" t="s">
        <v>169</v>
      </c>
      <c r="F530" s="8" t="s">
        <v>12</v>
      </c>
      <c r="G530" s="7">
        <v>104000</v>
      </c>
      <c r="H530" s="7">
        <v>80</v>
      </c>
      <c r="I530" s="7">
        <v>52</v>
      </c>
      <c r="J530" s="7">
        <v>28906.43</v>
      </c>
      <c r="K530" s="7">
        <v>21576.846552999999</v>
      </c>
      <c r="L530" s="7">
        <v>0</v>
      </c>
      <c r="M530" s="7">
        <v>25.36</v>
      </c>
      <c r="N530" s="7">
        <v>23.19</v>
      </c>
      <c r="O530" s="7">
        <v>245224.17</v>
      </c>
      <c r="P530" s="7">
        <v>179460.27632199999</v>
      </c>
      <c r="Q530" s="7">
        <v>0</v>
      </c>
      <c r="R530" s="7">
        <v>26.82</v>
      </c>
      <c r="S530" s="7">
        <v>28</v>
      </c>
      <c r="T530" s="7">
        <v>20</v>
      </c>
      <c r="U530" s="7">
        <v>13</v>
      </c>
      <c r="V530" s="7">
        <v>222</v>
      </c>
      <c r="W530" s="7">
        <v>10.65</v>
      </c>
      <c r="X530" s="7">
        <v>67600</v>
      </c>
      <c r="Y530" s="7">
        <v>136.9</v>
      </c>
      <c r="Z530" s="7">
        <v>2</v>
      </c>
      <c r="AA530" s="7">
        <v>23.55</v>
      </c>
      <c r="AB530" s="7">
        <v>1654</v>
      </c>
      <c r="AC530" s="7">
        <v>639000</v>
      </c>
      <c r="AD530" s="7">
        <v>415350</v>
      </c>
      <c r="AE530" s="7">
        <v>245224.17</v>
      </c>
      <c r="AF530" s="7">
        <v>275</v>
      </c>
      <c r="AG530" s="7">
        <v>192</v>
      </c>
      <c r="AH530" s="12">
        <v>423</v>
      </c>
    </row>
    <row r="531" spans="1:34" ht="21" hidden="1" x14ac:dyDescent="0.25">
      <c r="A531" s="11">
        <v>17</v>
      </c>
      <c r="B531" s="8" t="s">
        <v>16</v>
      </c>
      <c r="C531" s="7">
        <v>1475</v>
      </c>
      <c r="D531" s="8" t="s">
        <v>82</v>
      </c>
      <c r="E531" s="8" t="s">
        <v>169</v>
      </c>
      <c r="F531" s="8" t="s">
        <v>12</v>
      </c>
      <c r="G531" s="7">
        <v>95000</v>
      </c>
      <c r="H531" s="7">
        <v>54</v>
      </c>
      <c r="I531" s="7">
        <v>36</v>
      </c>
      <c r="J531" s="7">
        <v>38549.22</v>
      </c>
      <c r="K531" s="7">
        <v>28139.283536999999</v>
      </c>
      <c r="L531" s="7">
        <v>0</v>
      </c>
      <c r="M531" s="7">
        <v>27</v>
      </c>
      <c r="N531" s="7">
        <v>19.41</v>
      </c>
      <c r="O531" s="7">
        <v>172830.32</v>
      </c>
      <c r="P531" s="7">
        <v>124747.158641</v>
      </c>
      <c r="Q531" s="7">
        <v>0</v>
      </c>
      <c r="R531" s="7">
        <v>27.82</v>
      </c>
      <c r="S531" s="7">
        <v>22</v>
      </c>
      <c r="T531" s="7">
        <v>20</v>
      </c>
      <c r="U531" s="7">
        <v>13</v>
      </c>
      <c r="V531" s="7">
        <v>164</v>
      </c>
      <c r="W531" s="7">
        <v>9.3800000000000008</v>
      </c>
      <c r="X531" s="7">
        <v>61750</v>
      </c>
      <c r="Y531" s="7">
        <v>0</v>
      </c>
      <c r="Z531" s="7">
        <v>2</v>
      </c>
      <c r="AA531" s="7">
        <v>22.48</v>
      </c>
      <c r="AB531" s="7">
        <v>1654</v>
      </c>
      <c r="AC531" s="7">
        <v>510000</v>
      </c>
      <c r="AD531" s="7">
        <v>331500</v>
      </c>
      <c r="AE531" s="7">
        <v>172830.32</v>
      </c>
      <c r="AF531" s="7">
        <v>182</v>
      </c>
      <c r="AG531" s="7">
        <v>112</v>
      </c>
      <c r="AH531" s="12">
        <v>280</v>
      </c>
    </row>
    <row r="532" spans="1:34" ht="21" hidden="1" x14ac:dyDescent="0.25">
      <c r="A532" s="11">
        <v>10</v>
      </c>
      <c r="B532" s="8" t="s">
        <v>180</v>
      </c>
      <c r="C532" s="7">
        <v>1486</v>
      </c>
      <c r="D532" s="8" t="s">
        <v>89</v>
      </c>
      <c r="E532" s="8" t="s">
        <v>169</v>
      </c>
      <c r="F532" s="8" t="s">
        <v>12</v>
      </c>
      <c r="G532" s="7">
        <v>43000</v>
      </c>
      <c r="H532" s="7">
        <v>25</v>
      </c>
      <c r="I532" s="7">
        <v>17</v>
      </c>
      <c r="J532" s="7">
        <v>9369.2900000000009</v>
      </c>
      <c r="K532" s="7">
        <v>7180.9131299999999</v>
      </c>
      <c r="L532" s="7">
        <v>0</v>
      </c>
      <c r="M532" s="7">
        <v>23.36</v>
      </c>
      <c r="N532" s="7">
        <v>11.49</v>
      </c>
      <c r="O532" s="7">
        <v>332009.38</v>
      </c>
      <c r="P532" s="7">
        <v>252895.49786800001</v>
      </c>
      <c r="Q532" s="7">
        <v>0</v>
      </c>
      <c r="R532" s="7">
        <v>23.83</v>
      </c>
      <c r="S532" s="7">
        <v>12</v>
      </c>
      <c r="T532" s="7">
        <v>20</v>
      </c>
      <c r="U532" s="7">
        <v>13</v>
      </c>
      <c r="V532" s="7">
        <v>122</v>
      </c>
      <c r="W532" s="7">
        <v>13.62</v>
      </c>
      <c r="X532" s="7">
        <v>27950</v>
      </c>
      <c r="Y532" s="7">
        <v>350.57</v>
      </c>
      <c r="Z532" s="7">
        <v>4</v>
      </c>
      <c r="AA532" s="7">
        <v>23.57</v>
      </c>
      <c r="AB532" s="7">
        <v>1654</v>
      </c>
      <c r="AC532" s="7">
        <v>743000</v>
      </c>
      <c r="AD532" s="7">
        <v>482950</v>
      </c>
      <c r="AE532" s="7">
        <v>332009.38</v>
      </c>
      <c r="AF532" s="7">
        <v>351</v>
      </c>
      <c r="AG532" s="7">
        <v>266</v>
      </c>
      <c r="AH532" s="12">
        <v>540</v>
      </c>
    </row>
    <row r="533" spans="1:34" ht="21" hidden="1" x14ac:dyDescent="0.25">
      <c r="A533" s="11">
        <v>17</v>
      </c>
      <c r="B533" s="8" t="s">
        <v>16</v>
      </c>
      <c r="C533" s="7">
        <v>1497</v>
      </c>
      <c r="D533" s="8" t="s">
        <v>91</v>
      </c>
      <c r="E533" s="8" t="s">
        <v>169</v>
      </c>
      <c r="F533" s="8" t="s">
        <v>12</v>
      </c>
      <c r="G533" s="7">
        <v>80000</v>
      </c>
      <c r="H533" s="7">
        <v>36</v>
      </c>
      <c r="I533" s="7">
        <v>24</v>
      </c>
      <c r="J533" s="7">
        <v>41154.39</v>
      </c>
      <c r="K533" s="7">
        <v>29595.626776000001</v>
      </c>
      <c r="L533" s="7">
        <v>0</v>
      </c>
      <c r="M533" s="7">
        <v>28.09</v>
      </c>
      <c r="N533" s="7">
        <v>22.42</v>
      </c>
      <c r="O533" s="7">
        <v>172830.32</v>
      </c>
      <c r="P533" s="7">
        <v>124747.158641</v>
      </c>
      <c r="Q533" s="7">
        <v>0</v>
      </c>
      <c r="R533" s="7">
        <v>27.82</v>
      </c>
      <c r="S533" s="7">
        <v>21</v>
      </c>
      <c r="T533" s="7">
        <v>20</v>
      </c>
      <c r="U533" s="7">
        <v>13</v>
      </c>
      <c r="V533" s="7">
        <v>318</v>
      </c>
      <c r="W533" s="7">
        <v>19.079999999999998</v>
      </c>
      <c r="X533" s="7">
        <v>52000</v>
      </c>
      <c r="Y533" s="7">
        <v>0</v>
      </c>
      <c r="Z533" s="7">
        <v>1</v>
      </c>
      <c r="AA533" s="7">
        <v>22.48</v>
      </c>
      <c r="AB533" s="7">
        <v>1654</v>
      </c>
      <c r="AC533" s="7">
        <v>510000</v>
      </c>
      <c r="AD533" s="7">
        <v>331500</v>
      </c>
      <c r="AE533" s="7">
        <v>172830.32</v>
      </c>
      <c r="AF533" s="7">
        <v>182</v>
      </c>
      <c r="AG533" s="7">
        <v>112</v>
      </c>
      <c r="AH533" s="12">
        <v>280</v>
      </c>
    </row>
    <row r="534" spans="1:34" hidden="1" x14ac:dyDescent="0.25">
      <c r="A534" s="11">
        <v>2</v>
      </c>
      <c r="B534" s="8" t="s">
        <v>10</v>
      </c>
      <c r="C534" s="7">
        <v>1505</v>
      </c>
      <c r="D534" s="8" t="s">
        <v>93</v>
      </c>
      <c r="E534" s="8" t="s">
        <v>169</v>
      </c>
      <c r="F534" s="8" t="s">
        <v>12</v>
      </c>
      <c r="G534" s="7">
        <v>70000</v>
      </c>
      <c r="H534" s="7">
        <v>50</v>
      </c>
      <c r="I534" s="7">
        <v>33</v>
      </c>
      <c r="J534" s="7">
        <v>30547.8</v>
      </c>
      <c r="K534" s="7">
        <v>22508.093991999998</v>
      </c>
      <c r="L534" s="7">
        <v>0</v>
      </c>
      <c r="M534" s="7">
        <v>26.32</v>
      </c>
      <c r="N534" s="7">
        <v>21.23</v>
      </c>
      <c r="O534" s="7">
        <v>488596.11</v>
      </c>
      <c r="P534" s="7">
        <v>370375.51799899997</v>
      </c>
      <c r="Q534" s="7">
        <v>0</v>
      </c>
      <c r="R534" s="7">
        <v>24.2</v>
      </c>
      <c r="S534" s="7">
        <v>18</v>
      </c>
      <c r="T534" s="7">
        <v>20</v>
      </c>
      <c r="U534" s="7">
        <v>13</v>
      </c>
      <c r="V534" s="7">
        <v>290</v>
      </c>
      <c r="W534" s="7">
        <v>16.04</v>
      </c>
      <c r="X534" s="7">
        <v>45500</v>
      </c>
      <c r="Y534" s="7">
        <v>0</v>
      </c>
      <c r="Z534" s="7">
        <v>0</v>
      </c>
      <c r="AA534" s="7">
        <v>23.05</v>
      </c>
      <c r="AB534" s="7">
        <v>1654</v>
      </c>
      <c r="AC534" s="7">
        <v>1000000</v>
      </c>
      <c r="AD534" s="7">
        <v>650000</v>
      </c>
      <c r="AE534" s="7">
        <v>488596.11</v>
      </c>
      <c r="AF534" s="7">
        <v>439</v>
      </c>
      <c r="AG534" s="7">
        <v>312</v>
      </c>
      <c r="AH534" s="12">
        <v>675</v>
      </c>
    </row>
    <row r="535" spans="1:34" ht="21" hidden="1" x14ac:dyDescent="0.25">
      <c r="A535" s="11">
        <v>26</v>
      </c>
      <c r="B535" s="8" t="s">
        <v>13</v>
      </c>
      <c r="C535" s="7">
        <v>1527</v>
      </c>
      <c r="D535" s="8" t="s">
        <v>42</v>
      </c>
      <c r="E535" s="8" t="s">
        <v>169</v>
      </c>
      <c r="F535" s="8" t="s">
        <v>12</v>
      </c>
      <c r="G535" s="7">
        <v>60000</v>
      </c>
      <c r="H535" s="7">
        <v>60</v>
      </c>
      <c r="I535" s="7">
        <v>39</v>
      </c>
      <c r="J535" s="7">
        <v>42500.63</v>
      </c>
      <c r="K535" s="7">
        <v>32670.181852999998</v>
      </c>
      <c r="L535" s="7">
        <v>0</v>
      </c>
      <c r="M535" s="7">
        <v>23.13</v>
      </c>
      <c r="N535" s="7">
        <v>40.31</v>
      </c>
      <c r="O535" s="7">
        <v>402890.95</v>
      </c>
      <c r="P535" s="7">
        <v>311837.77215999999</v>
      </c>
      <c r="Q535" s="7">
        <v>0</v>
      </c>
      <c r="R535" s="7">
        <v>22.6</v>
      </c>
      <c r="S535" s="7">
        <v>24</v>
      </c>
      <c r="T535" s="7">
        <v>20</v>
      </c>
      <c r="U535" s="7">
        <v>13</v>
      </c>
      <c r="V535" s="7">
        <v>215</v>
      </c>
      <c r="W535" s="7">
        <v>11.33</v>
      </c>
      <c r="X535" s="7">
        <v>39000</v>
      </c>
      <c r="Y535" s="7">
        <v>2831.86</v>
      </c>
      <c r="Z535" s="7">
        <v>2</v>
      </c>
      <c r="AA535" s="7">
        <v>28.26</v>
      </c>
      <c r="AB535" s="7">
        <v>1654</v>
      </c>
      <c r="AC535" s="7">
        <v>790000</v>
      </c>
      <c r="AD535" s="7">
        <v>513500</v>
      </c>
      <c r="AE535" s="7">
        <v>402890.95</v>
      </c>
      <c r="AF535" s="7">
        <v>380</v>
      </c>
      <c r="AG535" s="7">
        <v>299</v>
      </c>
      <c r="AH535" s="12">
        <v>584</v>
      </c>
    </row>
    <row r="536" spans="1:34" ht="21" hidden="1" x14ac:dyDescent="0.25">
      <c r="A536" s="11">
        <v>26</v>
      </c>
      <c r="B536" s="8" t="s">
        <v>13</v>
      </c>
      <c r="C536" s="7">
        <v>1535</v>
      </c>
      <c r="D536" s="8" t="s">
        <v>97</v>
      </c>
      <c r="E536" s="8" t="s">
        <v>169</v>
      </c>
      <c r="F536" s="8" t="s">
        <v>12</v>
      </c>
      <c r="G536" s="7">
        <v>45000</v>
      </c>
      <c r="H536" s="7">
        <v>45</v>
      </c>
      <c r="I536" s="7">
        <v>30</v>
      </c>
      <c r="J536" s="7">
        <v>15154.66</v>
      </c>
      <c r="K536" s="7">
        <v>11660.639741999999</v>
      </c>
      <c r="L536" s="7">
        <v>0</v>
      </c>
      <c r="M536" s="7">
        <v>23.06</v>
      </c>
      <c r="N536" s="7">
        <v>19.64</v>
      </c>
      <c r="O536" s="7">
        <v>402890.95</v>
      </c>
      <c r="P536" s="7">
        <v>311837.77215999999</v>
      </c>
      <c r="Q536" s="7">
        <v>0</v>
      </c>
      <c r="R536" s="7">
        <v>22.6</v>
      </c>
      <c r="S536" s="7">
        <v>35</v>
      </c>
      <c r="T536" s="7">
        <v>20</v>
      </c>
      <c r="U536" s="7">
        <v>13</v>
      </c>
      <c r="V536" s="7">
        <v>147</v>
      </c>
      <c r="W536" s="7">
        <v>7.27</v>
      </c>
      <c r="X536" s="7">
        <v>29250</v>
      </c>
      <c r="Y536" s="7">
        <v>0</v>
      </c>
      <c r="Z536" s="7">
        <v>1</v>
      </c>
      <c r="AA536" s="7">
        <v>28.26</v>
      </c>
      <c r="AB536" s="7">
        <v>1654</v>
      </c>
      <c r="AC536" s="7">
        <v>790000</v>
      </c>
      <c r="AD536" s="7">
        <v>513500</v>
      </c>
      <c r="AE536" s="7">
        <v>402890.95</v>
      </c>
      <c r="AF536" s="7">
        <v>380</v>
      </c>
      <c r="AG536" s="7">
        <v>299</v>
      </c>
      <c r="AH536" s="12">
        <v>584</v>
      </c>
    </row>
    <row r="537" spans="1:34" hidden="1" x14ac:dyDescent="0.25">
      <c r="A537" s="11">
        <v>2</v>
      </c>
      <c r="B537" s="8" t="s">
        <v>10</v>
      </c>
      <c r="C537" s="7">
        <v>1553</v>
      </c>
      <c r="D537" s="8" t="s">
        <v>55</v>
      </c>
      <c r="E537" s="8" t="s">
        <v>169</v>
      </c>
      <c r="F537" s="8" t="s">
        <v>12</v>
      </c>
      <c r="G537" s="7">
        <v>50000</v>
      </c>
      <c r="H537" s="7">
        <v>40</v>
      </c>
      <c r="I537" s="7">
        <v>26</v>
      </c>
      <c r="J537" s="7">
        <v>9371.73</v>
      </c>
      <c r="K537" s="7">
        <v>6828.5998579999996</v>
      </c>
      <c r="L537" s="7">
        <v>0</v>
      </c>
      <c r="M537" s="7">
        <v>27.14</v>
      </c>
      <c r="N537" s="7">
        <v>51.55</v>
      </c>
      <c r="O537" s="7">
        <v>488596.11</v>
      </c>
      <c r="P537" s="7">
        <v>370375.51799899997</v>
      </c>
      <c r="Q537" s="7">
        <v>0</v>
      </c>
      <c r="R537" s="7">
        <v>24.2</v>
      </c>
      <c r="S537" s="7">
        <v>8</v>
      </c>
      <c r="T537" s="7">
        <v>20</v>
      </c>
      <c r="U537" s="7">
        <v>13</v>
      </c>
      <c r="V537" s="7">
        <v>65</v>
      </c>
      <c r="W537" s="7">
        <v>10.5</v>
      </c>
      <c r="X537" s="7">
        <v>32500</v>
      </c>
      <c r="Y537" s="7">
        <v>42.78</v>
      </c>
      <c r="Z537" s="7">
        <v>1</v>
      </c>
      <c r="AA537" s="7">
        <v>23.05</v>
      </c>
      <c r="AB537" s="7">
        <v>1654</v>
      </c>
      <c r="AC537" s="7">
        <v>1000000</v>
      </c>
      <c r="AD537" s="7">
        <v>650000</v>
      </c>
      <c r="AE537" s="7">
        <v>488596.11</v>
      </c>
      <c r="AF537" s="7">
        <v>439</v>
      </c>
      <c r="AG537" s="7">
        <v>312</v>
      </c>
      <c r="AH537" s="12">
        <v>675</v>
      </c>
    </row>
    <row r="538" spans="1:34" ht="21" hidden="1" x14ac:dyDescent="0.25">
      <c r="A538" s="11">
        <v>4</v>
      </c>
      <c r="B538" s="8" t="s">
        <v>15</v>
      </c>
      <c r="C538" s="7">
        <v>1557</v>
      </c>
      <c r="D538" s="8" t="s">
        <v>100</v>
      </c>
      <c r="E538" s="8" t="s">
        <v>169</v>
      </c>
      <c r="F538" s="8" t="s">
        <v>12</v>
      </c>
      <c r="G538" s="7">
        <v>105000</v>
      </c>
      <c r="H538" s="7">
        <v>78</v>
      </c>
      <c r="I538" s="7">
        <v>51</v>
      </c>
      <c r="J538" s="7">
        <v>31460.66</v>
      </c>
      <c r="K538" s="7">
        <v>22697.522846</v>
      </c>
      <c r="L538" s="7">
        <v>0</v>
      </c>
      <c r="M538" s="7">
        <v>27.85</v>
      </c>
      <c r="N538" s="7">
        <v>23.09</v>
      </c>
      <c r="O538" s="7">
        <v>245224.17</v>
      </c>
      <c r="P538" s="7">
        <v>179460.27632199999</v>
      </c>
      <c r="Q538" s="7">
        <v>0</v>
      </c>
      <c r="R538" s="7">
        <v>26.82</v>
      </c>
      <c r="S538" s="7">
        <v>34</v>
      </c>
      <c r="T538" s="7">
        <v>20</v>
      </c>
      <c r="U538" s="7">
        <v>13</v>
      </c>
      <c r="V538" s="7">
        <v>278</v>
      </c>
      <c r="W538" s="7">
        <v>12.56</v>
      </c>
      <c r="X538" s="7">
        <v>68250</v>
      </c>
      <c r="Y538" s="7">
        <v>0</v>
      </c>
      <c r="Z538" s="7">
        <v>1</v>
      </c>
      <c r="AA538" s="7">
        <v>23.55</v>
      </c>
      <c r="AB538" s="7">
        <v>1654</v>
      </c>
      <c r="AC538" s="7">
        <v>639000</v>
      </c>
      <c r="AD538" s="7">
        <v>415350</v>
      </c>
      <c r="AE538" s="7">
        <v>245224.17</v>
      </c>
      <c r="AF538" s="7">
        <v>275</v>
      </c>
      <c r="AG538" s="7">
        <v>192</v>
      </c>
      <c r="AH538" s="12">
        <v>423</v>
      </c>
    </row>
    <row r="539" spans="1:34" ht="21" hidden="1" x14ac:dyDescent="0.25">
      <c r="A539" s="11">
        <v>4</v>
      </c>
      <c r="B539" s="8" t="s">
        <v>15</v>
      </c>
      <c r="C539" s="7">
        <v>1558</v>
      </c>
      <c r="D539" s="8" t="s">
        <v>101</v>
      </c>
      <c r="E539" s="8" t="s">
        <v>169</v>
      </c>
      <c r="F539" s="8" t="s">
        <v>12</v>
      </c>
      <c r="G539" s="7">
        <v>80000</v>
      </c>
      <c r="H539" s="7">
        <v>65</v>
      </c>
      <c r="I539" s="7">
        <v>43</v>
      </c>
      <c r="J539" s="7">
        <v>22275.43</v>
      </c>
      <c r="K539" s="7">
        <v>15614.578453</v>
      </c>
      <c r="L539" s="7">
        <v>0</v>
      </c>
      <c r="M539" s="7">
        <v>29.9</v>
      </c>
      <c r="N539" s="7">
        <v>24.35</v>
      </c>
      <c r="O539" s="7">
        <v>245224.17</v>
      </c>
      <c r="P539" s="7">
        <v>179460.27632199999</v>
      </c>
      <c r="Q539" s="7">
        <v>0</v>
      </c>
      <c r="R539" s="7">
        <v>26.82</v>
      </c>
      <c r="S539" s="7">
        <v>25</v>
      </c>
      <c r="T539" s="7">
        <v>20</v>
      </c>
      <c r="U539" s="7">
        <v>13</v>
      </c>
      <c r="V539" s="7">
        <v>188</v>
      </c>
      <c r="W539" s="7">
        <v>10.5</v>
      </c>
      <c r="X539" s="7">
        <v>52000</v>
      </c>
      <c r="Y539" s="7">
        <v>0</v>
      </c>
      <c r="Z539" s="7">
        <v>0</v>
      </c>
      <c r="AA539" s="7">
        <v>23.55</v>
      </c>
      <c r="AB539" s="7">
        <v>1654</v>
      </c>
      <c r="AC539" s="7">
        <v>639000</v>
      </c>
      <c r="AD539" s="7">
        <v>415350</v>
      </c>
      <c r="AE539" s="7">
        <v>245224.17</v>
      </c>
      <c r="AF539" s="7">
        <v>275</v>
      </c>
      <c r="AG539" s="7">
        <v>192</v>
      </c>
      <c r="AH539" s="12">
        <v>423</v>
      </c>
    </row>
    <row r="540" spans="1:34" ht="21" hidden="1" x14ac:dyDescent="0.25">
      <c r="A540" s="11">
        <v>26</v>
      </c>
      <c r="B540" s="8" t="s">
        <v>13</v>
      </c>
      <c r="C540" s="7">
        <v>1565</v>
      </c>
      <c r="D540" s="8" t="s">
        <v>129</v>
      </c>
      <c r="E540" s="8" t="s">
        <v>169</v>
      </c>
      <c r="F540" s="8" t="s">
        <v>12</v>
      </c>
      <c r="G540" s="7">
        <v>40000</v>
      </c>
      <c r="H540" s="7">
        <v>1</v>
      </c>
      <c r="I540" s="7">
        <v>1</v>
      </c>
      <c r="J540" s="7">
        <v>12128.54</v>
      </c>
      <c r="K540" s="7">
        <v>9530.8553769999999</v>
      </c>
      <c r="L540" s="7">
        <v>0</v>
      </c>
      <c r="M540" s="7">
        <v>21.42</v>
      </c>
      <c r="N540" s="7">
        <v>45.21</v>
      </c>
      <c r="O540" s="7">
        <v>402890.95</v>
      </c>
      <c r="P540" s="7">
        <v>311837.77215999999</v>
      </c>
      <c r="Q540" s="7">
        <v>0</v>
      </c>
      <c r="R540" s="7">
        <v>22.6</v>
      </c>
      <c r="S540" s="7">
        <v>2</v>
      </c>
      <c r="T540" s="7">
        <v>20</v>
      </c>
      <c r="U540" s="7">
        <v>13</v>
      </c>
      <c r="V540" s="7">
        <v>44</v>
      </c>
      <c r="W540" s="7">
        <v>9.6</v>
      </c>
      <c r="X540" s="7">
        <v>26000</v>
      </c>
      <c r="Y540" s="7">
        <v>115.08</v>
      </c>
      <c r="Z540" s="7">
        <v>0</v>
      </c>
      <c r="AA540" s="7">
        <v>28.26</v>
      </c>
      <c r="AB540" s="7">
        <v>1654</v>
      </c>
      <c r="AC540" s="7">
        <v>790000</v>
      </c>
      <c r="AD540" s="7">
        <v>513500</v>
      </c>
      <c r="AE540" s="7">
        <v>402890.95</v>
      </c>
      <c r="AF540" s="7">
        <v>380</v>
      </c>
      <c r="AG540" s="7">
        <v>299</v>
      </c>
      <c r="AH540" s="12">
        <v>584</v>
      </c>
    </row>
    <row r="541" spans="1:34" ht="21" hidden="1" x14ac:dyDescent="0.25">
      <c r="A541" s="11">
        <v>12</v>
      </c>
      <c r="B541" s="8" t="s">
        <v>14</v>
      </c>
      <c r="C541" s="7">
        <v>1582</v>
      </c>
      <c r="D541" s="8" t="s">
        <v>111</v>
      </c>
      <c r="E541" s="8" t="s">
        <v>169</v>
      </c>
      <c r="F541" s="8" t="s">
        <v>12</v>
      </c>
      <c r="G541" s="7">
        <v>46000</v>
      </c>
      <c r="H541" s="7">
        <v>60</v>
      </c>
      <c r="I541" s="7">
        <v>39</v>
      </c>
      <c r="J541" s="7">
        <v>27203.82</v>
      </c>
      <c r="K541" s="7">
        <v>20729.475992</v>
      </c>
      <c r="L541" s="7">
        <v>0</v>
      </c>
      <c r="M541" s="7">
        <v>23.8</v>
      </c>
      <c r="N541" s="7">
        <v>19</v>
      </c>
      <c r="O541" s="7">
        <v>194596.38</v>
      </c>
      <c r="P541" s="7">
        <v>150209.46789699999</v>
      </c>
      <c r="Q541" s="7">
        <v>0</v>
      </c>
      <c r="R541" s="7">
        <v>22.81</v>
      </c>
      <c r="S541" s="7">
        <v>39</v>
      </c>
      <c r="T541" s="7">
        <v>20</v>
      </c>
      <c r="U541" s="7">
        <v>13</v>
      </c>
      <c r="V541" s="7">
        <v>158</v>
      </c>
      <c r="W541" s="7">
        <v>9.09</v>
      </c>
      <c r="X541" s="7">
        <v>29900</v>
      </c>
      <c r="Y541" s="7">
        <v>862.32</v>
      </c>
      <c r="Z541" s="7">
        <v>1</v>
      </c>
      <c r="AA541" s="7">
        <v>15.87</v>
      </c>
      <c r="AB541" s="7">
        <v>1654</v>
      </c>
      <c r="AC541" s="7">
        <v>634000</v>
      </c>
      <c r="AD541" s="7">
        <v>412100</v>
      </c>
      <c r="AE541" s="7">
        <v>194596.38</v>
      </c>
      <c r="AF541" s="7">
        <v>446</v>
      </c>
      <c r="AG541" s="7">
        <v>277</v>
      </c>
      <c r="AH541" s="12">
        <v>685</v>
      </c>
    </row>
    <row r="542" spans="1:34" ht="21" hidden="1" x14ac:dyDescent="0.25">
      <c r="A542" s="11">
        <v>6</v>
      </c>
      <c r="B542" s="8" t="s">
        <v>142</v>
      </c>
      <c r="C542" s="7">
        <v>1585</v>
      </c>
      <c r="D542" s="8" t="s">
        <v>90</v>
      </c>
      <c r="E542" s="8" t="s">
        <v>169</v>
      </c>
      <c r="F542" s="8" t="s">
        <v>12</v>
      </c>
      <c r="G542" s="7">
        <v>40000</v>
      </c>
      <c r="H542" s="7">
        <v>45</v>
      </c>
      <c r="I542" s="7">
        <v>30</v>
      </c>
      <c r="J542" s="7">
        <v>13565.53</v>
      </c>
      <c r="K542" s="7">
        <v>10103.782372</v>
      </c>
      <c r="L542" s="7">
        <v>0</v>
      </c>
      <c r="M542" s="7">
        <v>25.52</v>
      </c>
      <c r="N542" s="7">
        <v>17.95</v>
      </c>
      <c r="O542" s="7">
        <v>366742.08</v>
      </c>
      <c r="P542" s="7">
        <v>279745.02127199998</v>
      </c>
      <c r="Q542" s="7">
        <v>0</v>
      </c>
      <c r="R542" s="7">
        <v>23.72</v>
      </c>
      <c r="S542" s="7">
        <v>16</v>
      </c>
      <c r="T542" s="7">
        <v>20</v>
      </c>
      <c r="U542" s="7">
        <v>13</v>
      </c>
      <c r="V542" s="7">
        <v>119</v>
      </c>
      <c r="W542" s="7">
        <v>10.5</v>
      </c>
      <c r="X542" s="7">
        <v>26000</v>
      </c>
      <c r="Y542" s="7">
        <v>0</v>
      </c>
      <c r="Z542" s="7">
        <v>0</v>
      </c>
      <c r="AA542" s="7">
        <v>18.899999999999999</v>
      </c>
      <c r="AB542" s="7">
        <v>1654</v>
      </c>
      <c r="AC542" s="7">
        <v>842000</v>
      </c>
      <c r="AD542" s="7">
        <v>547300</v>
      </c>
      <c r="AE542" s="7">
        <v>366742.08</v>
      </c>
      <c r="AF542" s="7">
        <v>507</v>
      </c>
      <c r="AG542" s="7">
        <v>357</v>
      </c>
      <c r="AH542" s="12">
        <v>780</v>
      </c>
    </row>
    <row r="543" spans="1:34" ht="21" hidden="1" x14ac:dyDescent="0.25">
      <c r="A543" s="11">
        <v>10</v>
      </c>
      <c r="B543" s="8" t="s">
        <v>180</v>
      </c>
      <c r="C543" s="7">
        <v>1589</v>
      </c>
      <c r="D543" s="8" t="s">
        <v>114</v>
      </c>
      <c r="E543" s="8" t="s">
        <v>169</v>
      </c>
      <c r="F543" s="8" t="s">
        <v>12</v>
      </c>
      <c r="G543" s="7">
        <v>75000</v>
      </c>
      <c r="H543" s="7">
        <v>55</v>
      </c>
      <c r="I543" s="7">
        <v>36</v>
      </c>
      <c r="J543" s="7">
        <v>24595.38</v>
      </c>
      <c r="K543" s="7">
        <v>18414.951212</v>
      </c>
      <c r="L543" s="7">
        <v>0</v>
      </c>
      <c r="M543" s="7">
        <v>25.13</v>
      </c>
      <c r="N543" s="7">
        <v>26.05</v>
      </c>
      <c r="O543" s="7">
        <v>332009.38</v>
      </c>
      <c r="P543" s="7">
        <v>252895.49786800001</v>
      </c>
      <c r="Q543" s="7">
        <v>0</v>
      </c>
      <c r="R543" s="7">
        <v>23.83</v>
      </c>
      <c r="S543" s="7">
        <v>23</v>
      </c>
      <c r="T543" s="7">
        <v>20</v>
      </c>
      <c r="U543" s="7">
        <v>13</v>
      </c>
      <c r="V543" s="7">
        <v>179</v>
      </c>
      <c r="W543" s="7">
        <v>8.7899999999999991</v>
      </c>
      <c r="X543" s="7">
        <v>48750</v>
      </c>
      <c r="Y543" s="7">
        <v>182.54</v>
      </c>
      <c r="Z543" s="7">
        <v>0</v>
      </c>
      <c r="AA543" s="7">
        <v>23.57</v>
      </c>
      <c r="AB543" s="7">
        <v>1654</v>
      </c>
      <c r="AC543" s="7">
        <v>743000</v>
      </c>
      <c r="AD543" s="7">
        <v>482950</v>
      </c>
      <c r="AE543" s="7">
        <v>332009.38</v>
      </c>
      <c r="AF543" s="7">
        <v>351</v>
      </c>
      <c r="AG543" s="7">
        <v>266</v>
      </c>
      <c r="AH543" s="12">
        <v>540</v>
      </c>
    </row>
    <row r="544" spans="1:34" ht="21" hidden="1" x14ac:dyDescent="0.25">
      <c r="A544" s="11">
        <v>10</v>
      </c>
      <c r="B544" s="8" t="s">
        <v>180</v>
      </c>
      <c r="C544" s="7">
        <v>1591</v>
      </c>
      <c r="D544" s="8" t="s">
        <v>115</v>
      </c>
      <c r="E544" s="8" t="s">
        <v>169</v>
      </c>
      <c r="F544" s="8" t="s">
        <v>12</v>
      </c>
      <c r="G544" s="7">
        <v>65000</v>
      </c>
      <c r="H544" s="7">
        <v>50</v>
      </c>
      <c r="I544" s="7">
        <v>33</v>
      </c>
      <c r="J544" s="7">
        <v>32671.09</v>
      </c>
      <c r="K544" s="7">
        <v>24541.658640000001</v>
      </c>
      <c r="L544" s="7">
        <v>0</v>
      </c>
      <c r="M544" s="7">
        <v>24.88</v>
      </c>
      <c r="N544" s="7">
        <v>21.5</v>
      </c>
      <c r="O544" s="7">
        <v>332009.38</v>
      </c>
      <c r="P544" s="7">
        <v>252895.49786800001</v>
      </c>
      <c r="Q544" s="7">
        <v>0</v>
      </c>
      <c r="R544" s="7">
        <v>23.83</v>
      </c>
      <c r="S544" s="7">
        <v>36</v>
      </c>
      <c r="T544" s="7">
        <v>20</v>
      </c>
      <c r="U544" s="7">
        <v>13</v>
      </c>
      <c r="V544" s="7">
        <v>298</v>
      </c>
      <c r="W544" s="7">
        <v>11.88</v>
      </c>
      <c r="X544" s="7">
        <v>42250</v>
      </c>
      <c r="Y544" s="7">
        <v>0</v>
      </c>
      <c r="Z544" s="7">
        <v>0</v>
      </c>
      <c r="AA544" s="7">
        <v>23.57</v>
      </c>
      <c r="AB544" s="7">
        <v>1654</v>
      </c>
      <c r="AC544" s="7">
        <v>743000</v>
      </c>
      <c r="AD544" s="7">
        <v>482950</v>
      </c>
      <c r="AE544" s="7">
        <v>332009.38</v>
      </c>
      <c r="AF544" s="7">
        <v>351</v>
      </c>
      <c r="AG544" s="7">
        <v>266</v>
      </c>
      <c r="AH544" s="12">
        <v>540</v>
      </c>
    </row>
    <row r="545" spans="1:34" ht="21" hidden="1" x14ac:dyDescent="0.25">
      <c r="A545" s="11">
        <v>5</v>
      </c>
      <c r="B545" s="8" t="s">
        <v>143</v>
      </c>
      <c r="C545" s="7">
        <v>1593</v>
      </c>
      <c r="D545" s="8" t="s">
        <v>122</v>
      </c>
      <c r="E545" s="8" t="s">
        <v>169</v>
      </c>
      <c r="F545" s="8" t="s">
        <v>12</v>
      </c>
      <c r="G545" s="7">
        <v>115000</v>
      </c>
      <c r="H545" s="7">
        <v>50</v>
      </c>
      <c r="I545" s="7">
        <v>33</v>
      </c>
      <c r="J545" s="7">
        <v>76143.820000000007</v>
      </c>
      <c r="K545" s="7">
        <v>60872.535393999999</v>
      </c>
      <c r="L545" s="7">
        <v>0</v>
      </c>
      <c r="M545" s="7">
        <v>20.059999999999999</v>
      </c>
      <c r="N545" s="7">
        <v>33.39</v>
      </c>
      <c r="O545" s="7">
        <v>153597.82999999999</v>
      </c>
      <c r="P545" s="7">
        <v>121903.883544</v>
      </c>
      <c r="Q545" s="7">
        <v>0</v>
      </c>
      <c r="R545" s="7">
        <v>20.63</v>
      </c>
      <c r="S545" s="7">
        <v>44</v>
      </c>
      <c r="T545" s="7">
        <v>20</v>
      </c>
      <c r="U545" s="7">
        <v>13</v>
      </c>
      <c r="V545" s="7">
        <v>308</v>
      </c>
      <c r="W545" s="7">
        <v>9.57</v>
      </c>
      <c r="X545" s="7">
        <v>74750</v>
      </c>
      <c r="Y545" s="7">
        <v>70.319999999999993</v>
      </c>
      <c r="Z545" s="7">
        <v>1</v>
      </c>
      <c r="AA545" s="7">
        <v>35.04</v>
      </c>
      <c r="AB545" s="7">
        <v>1654</v>
      </c>
      <c r="AC545" s="7">
        <v>332000</v>
      </c>
      <c r="AD545" s="7">
        <v>215800</v>
      </c>
      <c r="AE545" s="7">
        <v>153597.82999999999</v>
      </c>
      <c r="AF545" s="7">
        <v>65</v>
      </c>
      <c r="AG545" s="7">
        <v>79</v>
      </c>
      <c r="AH545" s="12">
        <v>100</v>
      </c>
    </row>
    <row r="546" spans="1:34" ht="21" hidden="1" x14ac:dyDescent="0.25">
      <c r="A546" s="11">
        <v>12</v>
      </c>
      <c r="B546" s="8" t="s">
        <v>14</v>
      </c>
      <c r="C546" s="7">
        <v>1594</v>
      </c>
      <c r="D546" s="8" t="s">
        <v>123</v>
      </c>
      <c r="E546" s="8" t="s">
        <v>169</v>
      </c>
      <c r="F546" s="8" t="s">
        <v>12</v>
      </c>
      <c r="G546" s="7">
        <v>46000</v>
      </c>
      <c r="H546" s="7">
        <v>60</v>
      </c>
      <c r="I546" s="7">
        <v>39</v>
      </c>
      <c r="J546" s="7">
        <v>17943.71</v>
      </c>
      <c r="K546" s="7">
        <v>13663.045762</v>
      </c>
      <c r="L546" s="7">
        <v>0</v>
      </c>
      <c r="M546" s="7">
        <v>23.86</v>
      </c>
      <c r="N546" s="7">
        <v>18.809999999999999</v>
      </c>
      <c r="O546" s="7">
        <v>194596.38</v>
      </c>
      <c r="P546" s="7">
        <v>150209.46789699999</v>
      </c>
      <c r="Q546" s="7">
        <v>0</v>
      </c>
      <c r="R546" s="7">
        <v>22.81</v>
      </c>
      <c r="S546" s="7">
        <v>26</v>
      </c>
      <c r="T546" s="7">
        <v>20</v>
      </c>
      <c r="U546" s="7">
        <v>13</v>
      </c>
      <c r="V546" s="7">
        <v>146</v>
      </c>
      <c r="W546" s="7">
        <v>9.77</v>
      </c>
      <c r="X546" s="7">
        <v>29900</v>
      </c>
      <c r="Y546" s="7">
        <v>493.32</v>
      </c>
      <c r="Z546" s="7">
        <v>0</v>
      </c>
      <c r="AA546" s="7">
        <v>15.87</v>
      </c>
      <c r="AB546" s="7">
        <v>1654</v>
      </c>
      <c r="AC546" s="7">
        <v>634000</v>
      </c>
      <c r="AD546" s="7">
        <v>412100</v>
      </c>
      <c r="AE546" s="7">
        <v>194596.38</v>
      </c>
      <c r="AF546" s="7">
        <v>446</v>
      </c>
      <c r="AG546" s="7">
        <v>277</v>
      </c>
      <c r="AH546" s="12">
        <v>685</v>
      </c>
    </row>
    <row r="547" spans="1:34" ht="21" hidden="1" x14ac:dyDescent="0.25">
      <c r="A547" s="11">
        <v>6</v>
      </c>
      <c r="B547" s="8" t="s">
        <v>142</v>
      </c>
      <c r="C547" s="7">
        <v>1602</v>
      </c>
      <c r="D547" s="8" t="s">
        <v>131</v>
      </c>
      <c r="E547" s="8" t="s">
        <v>169</v>
      </c>
      <c r="F547" s="8" t="s">
        <v>12</v>
      </c>
      <c r="G547" s="7">
        <v>90000</v>
      </c>
      <c r="H547" s="7">
        <v>80</v>
      </c>
      <c r="I547" s="7">
        <v>52</v>
      </c>
      <c r="J547" s="7">
        <v>10399.35</v>
      </c>
      <c r="K547" s="7">
        <v>7728.0461910000004</v>
      </c>
      <c r="L547" s="7">
        <v>0</v>
      </c>
      <c r="M547" s="7">
        <v>25.69</v>
      </c>
      <c r="N547" s="7">
        <v>21.94</v>
      </c>
      <c r="O547" s="7">
        <v>366742.08</v>
      </c>
      <c r="P547" s="7">
        <v>279745.02127199998</v>
      </c>
      <c r="Q547" s="7">
        <v>0</v>
      </c>
      <c r="R547" s="7">
        <v>23.72</v>
      </c>
      <c r="S547" s="7">
        <v>13</v>
      </c>
      <c r="T547" s="7">
        <v>20</v>
      </c>
      <c r="U547" s="7">
        <v>13</v>
      </c>
      <c r="V547" s="7">
        <v>95</v>
      </c>
      <c r="W547" s="7">
        <v>10</v>
      </c>
      <c r="X547" s="7">
        <v>58500</v>
      </c>
      <c r="Y547" s="7">
        <v>0</v>
      </c>
      <c r="Z547" s="7">
        <v>1</v>
      </c>
      <c r="AA547" s="7">
        <v>18.899999999999999</v>
      </c>
      <c r="AB547" s="7">
        <v>1654</v>
      </c>
      <c r="AC547" s="7">
        <v>842000</v>
      </c>
      <c r="AD547" s="7">
        <v>547300</v>
      </c>
      <c r="AE547" s="7">
        <v>366742.08</v>
      </c>
      <c r="AF547" s="7">
        <v>507</v>
      </c>
      <c r="AG547" s="7">
        <v>357</v>
      </c>
      <c r="AH547" s="12">
        <v>780</v>
      </c>
    </row>
    <row r="548" spans="1:34" ht="21" hidden="1" x14ac:dyDescent="0.25">
      <c r="A548" s="11">
        <v>10</v>
      </c>
      <c r="B548" s="8" t="s">
        <v>180</v>
      </c>
      <c r="C548" s="7">
        <v>1605</v>
      </c>
      <c r="D548" s="8" t="s">
        <v>133</v>
      </c>
      <c r="E548" s="8" t="s">
        <v>169</v>
      </c>
      <c r="F548" s="8" t="s">
        <v>12</v>
      </c>
      <c r="G548" s="7">
        <v>100000</v>
      </c>
      <c r="H548" s="7">
        <v>60</v>
      </c>
      <c r="I548" s="7">
        <v>39</v>
      </c>
      <c r="J548" s="7">
        <v>68607.95</v>
      </c>
      <c r="K548" s="7">
        <v>54017.962108</v>
      </c>
      <c r="L548" s="7">
        <v>0</v>
      </c>
      <c r="M548" s="7">
        <v>21.27</v>
      </c>
      <c r="N548" s="7">
        <v>34.75</v>
      </c>
      <c r="O548" s="7">
        <v>332009.38</v>
      </c>
      <c r="P548" s="7">
        <v>252895.49786800001</v>
      </c>
      <c r="Q548" s="7">
        <v>0</v>
      </c>
      <c r="R548" s="7">
        <v>23.83</v>
      </c>
      <c r="S548" s="7">
        <v>36</v>
      </c>
      <c r="T548" s="7">
        <v>20</v>
      </c>
      <c r="U548" s="7">
        <v>13</v>
      </c>
      <c r="V548" s="7">
        <v>177</v>
      </c>
      <c r="W548" s="7">
        <v>9.26</v>
      </c>
      <c r="X548" s="7">
        <v>65000</v>
      </c>
      <c r="Y548" s="7">
        <v>1578.57</v>
      </c>
      <c r="Z548" s="7">
        <v>0</v>
      </c>
      <c r="AA548" s="7">
        <v>23.57</v>
      </c>
      <c r="AB548" s="7">
        <v>1654</v>
      </c>
      <c r="AC548" s="7">
        <v>743000</v>
      </c>
      <c r="AD548" s="7">
        <v>482950</v>
      </c>
      <c r="AE548" s="7">
        <v>332009.38</v>
      </c>
      <c r="AF548" s="7">
        <v>351</v>
      </c>
      <c r="AG548" s="7">
        <v>266</v>
      </c>
      <c r="AH548" s="12">
        <v>540</v>
      </c>
    </row>
    <row r="549" spans="1:34" ht="21" hidden="1" x14ac:dyDescent="0.25">
      <c r="A549" s="11">
        <v>17</v>
      </c>
      <c r="B549" s="8" t="s">
        <v>16</v>
      </c>
      <c r="C549" s="7">
        <v>1608</v>
      </c>
      <c r="D549" s="8" t="s">
        <v>146</v>
      </c>
      <c r="E549" s="8" t="s">
        <v>169</v>
      </c>
      <c r="F549" s="8" t="s">
        <v>12</v>
      </c>
      <c r="G549" s="7">
        <v>95000</v>
      </c>
      <c r="H549" s="7">
        <v>54</v>
      </c>
      <c r="I549" s="7">
        <v>36</v>
      </c>
      <c r="J549" s="7">
        <v>18379.669999999998</v>
      </c>
      <c r="K549" s="7">
        <v>13573.647975</v>
      </c>
      <c r="L549" s="7">
        <v>0</v>
      </c>
      <c r="M549" s="7">
        <v>26.15</v>
      </c>
      <c r="N549" s="7">
        <v>24.51</v>
      </c>
      <c r="O549" s="7">
        <v>172830.32</v>
      </c>
      <c r="P549" s="7">
        <v>124747.158641</v>
      </c>
      <c r="Q549" s="7">
        <v>0</v>
      </c>
      <c r="R549" s="7">
        <v>27.82</v>
      </c>
      <c r="S549" s="7">
        <v>15</v>
      </c>
      <c r="T549" s="7">
        <v>20</v>
      </c>
      <c r="U549" s="7">
        <v>13</v>
      </c>
      <c r="V549" s="7">
        <v>94</v>
      </c>
      <c r="W549" s="7">
        <v>8.41</v>
      </c>
      <c r="X549" s="7">
        <v>61750</v>
      </c>
      <c r="Y549" s="7">
        <v>0</v>
      </c>
      <c r="Z549" s="7">
        <v>1</v>
      </c>
      <c r="AA549" s="7">
        <v>22.48</v>
      </c>
      <c r="AB549" s="7">
        <v>1654</v>
      </c>
      <c r="AC549" s="7">
        <v>510000</v>
      </c>
      <c r="AD549" s="7">
        <v>331500</v>
      </c>
      <c r="AE549" s="7">
        <v>172830.32</v>
      </c>
      <c r="AF549" s="7">
        <v>182</v>
      </c>
      <c r="AG549" s="7">
        <v>112</v>
      </c>
      <c r="AH549" s="12">
        <v>280</v>
      </c>
    </row>
    <row r="550" spans="1:34" ht="21" hidden="1" x14ac:dyDescent="0.25">
      <c r="A550" s="17">
        <v>12</v>
      </c>
      <c r="B550" s="18" t="s">
        <v>14</v>
      </c>
      <c r="C550" s="9">
        <v>1609</v>
      </c>
      <c r="D550" s="18" t="s">
        <v>147</v>
      </c>
      <c r="E550" s="18" t="s">
        <v>169</v>
      </c>
      <c r="F550" s="18" t="s">
        <v>12</v>
      </c>
      <c r="G550" s="9">
        <v>55000</v>
      </c>
      <c r="H550" s="9">
        <v>60</v>
      </c>
      <c r="I550" s="9">
        <v>39</v>
      </c>
      <c r="J550" s="9">
        <v>20418.89</v>
      </c>
      <c r="K550" s="9">
        <v>15785.889291</v>
      </c>
      <c r="L550" s="9">
        <v>0</v>
      </c>
      <c r="M550" s="9">
        <v>22.69</v>
      </c>
      <c r="N550" s="9">
        <v>10.68</v>
      </c>
      <c r="O550" s="9">
        <v>194596.38</v>
      </c>
      <c r="P550" s="9">
        <v>150209.46789699999</v>
      </c>
      <c r="Q550" s="9">
        <v>0</v>
      </c>
      <c r="R550" s="9">
        <v>22.81</v>
      </c>
      <c r="S550" s="9">
        <v>33</v>
      </c>
      <c r="T550" s="9">
        <v>20</v>
      </c>
      <c r="U550" s="9">
        <v>13</v>
      </c>
      <c r="V550" s="9">
        <v>179</v>
      </c>
      <c r="W550" s="9">
        <v>8.33</v>
      </c>
      <c r="X550" s="9">
        <v>35750</v>
      </c>
      <c r="Y550" s="9">
        <v>2543.04</v>
      </c>
      <c r="Z550" s="9">
        <v>0</v>
      </c>
      <c r="AA550" s="9">
        <v>15.87</v>
      </c>
      <c r="AB550" s="9">
        <v>1654</v>
      </c>
      <c r="AC550" s="9">
        <v>634000</v>
      </c>
      <c r="AD550" s="9">
        <v>412100</v>
      </c>
      <c r="AE550" s="9">
        <v>194596.38</v>
      </c>
      <c r="AF550" s="9">
        <v>446</v>
      </c>
      <c r="AG550" s="9">
        <v>277</v>
      </c>
      <c r="AH550" s="19">
        <v>685</v>
      </c>
    </row>
    <row r="551" spans="1:34" ht="21" hidden="1" x14ac:dyDescent="0.25">
      <c r="A551" s="11">
        <v>12</v>
      </c>
      <c r="B551" s="8" t="s">
        <v>14</v>
      </c>
      <c r="C551" s="7">
        <v>1610</v>
      </c>
      <c r="D551" s="8" t="s">
        <v>148</v>
      </c>
      <c r="E551" s="8" t="s">
        <v>169</v>
      </c>
      <c r="F551" s="8" t="s">
        <v>12</v>
      </c>
      <c r="G551" s="7">
        <v>0</v>
      </c>
      <c r="H551" s="7">
        <v>0</v>
      </c>
      <c r="I551" s="7">
        <v>0</v>
      </c>
      <c r="J551" s="7">
        <v>2208.88</v>
      </c>
      <c r="K551" s="7">
        <v>1698.260194</v>
      </c>
      <c r="L551" s="7">
        <v>0</v>
      </c>
      <c r="M551" s="7">
        <v>23.12</v>
      </c>
      <c r="N551" s="7">
        <v>21</v>
      </c>
      <c r="O551" s="7">
        <v>194596.38</v>
      </c>
      <c r="P551" s="7">
        <v>150209.46789699999</v>
      </c>
      <c r="Q551" s="7">
        <v>0</v>
      </c>
      <c r="R551" s="7">
        <v>22.81</v>
      </c>
      <c r="S551" s="7">
        <v>3</v>
      </c>
      <c r="T551" s="7">
        <v>20</v>
      </c>
      <c r="U551" s="7">
        <v>13</v>
      </c>
      <c r="V551" s="7">
        <v>12</v>
      </c>
      <c r="W551" s="7">
        <v>3.75</v>
      </c>
      <c r="X551" s="7">
        <v>0</v>
      </c>
      <c r="Y551" s="7">
        <v>0</v>
      </c>
      <c r="Z551" s="7">
        <v>0</v>
      </c>
      <c r="AA551" s="7">
        <v>15.87</v>
      </c>
      <c r="AB551" s="7">
        <v>1654</v>
      </c>
      <c r="AC551" s="7">
        <v>634000</v>
      </c>
      <c r="AD551" s="7">
        <v>412100</v>
      </c>
      <c r="AE551" s="7">
        <v>194596.38</v>
      </c>
      <c r="AF551" s="7">
        <v>446</v>
      </c>
      <c r="AG551" s="7">
        <v>277</v>
      </c>
      <c r="AH551" s="12">
        <v>685</v>
      </c>
    </row>
    <row r="552" spans="1:34" ht="21" hidden="1" x14ac:dyDescent="0.25">
      <c r="A552" s="11">
        <v>10</v>
      </c>
      <c r="B552" s="8" t="s">
        <v>180</v>
      </c>
      <c r="C552" s="7">
        <v>1611</v>
      </c>
      <c r="D552" s="8" t="s">
        <v>149</v>
      </c>
      <c r="E552" s="8" t="s">
        <v>169</v>
      </c>
      <c r="F552" s="8" t="s">
        <v>12</v>
      </c>
      <c r="G552" s="7">
        <v>90000</v>
      </c>
      <c r="H552" s="7">
        <v>60</v>
      </c>
      <c r="I552" s="7">
        <v>39</v>
      </c>
      <c r="J552" s="7">
        <v>31735.01</v>
      </c>
      <c r="K552" s="7">
        <v>24016.350480000001</v>
      </c>
      <c r="L552" s="7">
        <v>0</v>
      </c>
      <c r="M552" s="7">
        <v>24.32</v>
      </c>
      <c r="N552" s="7">
        <v>23.67</v>
      </c>
      <c r="O552" s="7">
        <v>332009.38</v>
      </c>
      <c r="P552" s="7">
        <v>252895.49786800001</v>
      </c>
      <c r="Q552" s="7">
        <v>0</v>
      </c>
      <c r="R552" s="7">
        <v>23.83</v>
      </c>
      <c r="S552" s="7">
        <v>23</v>
      </c>
      <c r="T552" s="7">
        <v>20</v>
      </c>
      <c r="U552" s="7">
        <v>13</v>
      </c>
      <c r="V552" s="7">
        <v>141</v>
      </c>
      <c r="W552" s="7">
        <v>7.03</v>
      </c>
      <c r="X552" s="7">
        <v>58500</v>
      </c>
      <c r="Y552" s="7">
        <v>26.35</v>
      </c>
      <c r="Z552" s="7">
        <v>0</v>
      </c>
      <c r="AA552" s="7">
        <v>23.57</v>
      </c>
      <c r="AB552" s="7">
        <v>1654</v>
      </c>
      <c r="AC552" s="7">
        <v>743000</v>
      </c>
      <c r="AD552" s="7">
        <v>482950</v>
      </c>
      <c r="AE552" s="7">
        <v>332009.38</v>
      </c>
      <c r="AF552" s="7">
        <v>351</v>
      </c>
      <c r="AG552" s="7">
        <v>266</v>
      </c>
      <c r="AH552" s="12">
        <v>540</v>
      </c>
    </row>
    <row r="553" spans="1:34" hidden="1" x14ac:dyDescent="0.25">
      <c r="A553" s="11">
        <v>2</v>
      </c>
      <c r="B553" s="8" t="s">
        <v>10</v>
      </c>
      <c r="C553" s="7">
        <v>1612</v>
      </c>
      <c r="D553" s="8" t="s">
        <v>152</v>
      </c>
      <c r="E553" s="8" t="s">
        <v>169</v>
      </c>
      <c r="F553" s="8" t="s">
        <v>12</v>
      </c>
      <c r="G553" s="7">
        <v>85000</v>
      </c>
      <c r="H553" s="7">
        <v>65</v>
      </c>
      <c r="I553" s="7">
        <v>43</v>
      </c>
      <c r="J553" s="7">
        <v>24601.5</v>
      </c>
      <c r="K553" s="7">
        <v>18573.652161000002</v>
      </c>
      <c r="L553" s="7">
        <v>0</v>
      </c>
      <c r="M553" s="7">
        <v>24.5</v>
      </c>
      <c r="N553" s="7">
        <v>19.46</v>
      </c>
      <c r="O553" s="7">
        <v>488596.11</v>
      </c>
      <c r="P553" s="7">
        <v>370375.51799899997</v>
      </c>
      <c r="Q553" s="7">
        <v>0</v>
      </c>
      <c r="R553" s="7">
        <v>24.2</v>
      </c>
      <c r="S553" s="7">
        <v>21</v>
      </c>
      <c r="T553" s="7">
        <v>20</v>
      </c>
      <c r="U553" s="7">
        <v>13</v>
      </c>
      <c r="V553" s="7">
        <v>284</v>
      </c>
      <c r="W553" s="7">
        <v>18.04</v>
      </c>
      <c r="X553" s="7">
        <v>55250</v>
      </c>
      <c r="Y553" s="7">
        <v>1412.74</v>
      </c>
      <c r="Z553" s="7">
        <v>0</v>
      </c>
      <c r="AA553" s="7">
        <v>23.05</v>
      </c>
      <c r="AB553" s="7">
        <v>1654</v>
      </c>
      <c r="AC553" s="7">
        <v>1000000</v>
      </c>
      <c r="AD553" s="7">
        <v>650000</v>
      </c>
      <c r="AE553" s="7">
        <v>488596.11</v>
      </c>
      <c r="AF553" s="7">
        <v>439</v>
      </c>
      <c r="AG553" s="7">
        <v>312</v>
      </c>
      <c r="AH553" s="12">
        <v>675</v>
      </c>
    </row>
    <row r="554" spans="1:34" ht="21" hidden="1" x14ac:dyDescent="0.25">
      <c r="A554" s="11">
        <v>17</v>
      </c>
      <c r="B554" s="8" t="s">
        <v>16</v>
      </c>
      <c r="C554" s="7">
        <v>1613</v>
      </c>
      <c r="D554" s="8" t="s">
        <v>42</v>
      </c>
      <c r="E554" s="8" t="s">
        <v>169</v>
      </c>
      <c r="F554" s="8" t="s">
        <v>12</v>
      </c>
      <c r="G554" s="7">
        <v>50000</v>
      </c>
      <c r="H554" s="7">
        <v>50</v>
      </c>
      <c r="I554" s="7">
        <v>33</v>
      </c>
      <c r="J554" s="7">
        <v>29568.98</v>
      </c>
      <c r="K554" s="7">
        <v>21127.237496000002</v>
      </c>
      <c r="L554" s="7">
        <v>0</v>
      </c>
      <c r="M554" s="7">
        <v>28.55</v>
      </c>
      <c r="N554" s="7">
        <v>23.05</v>
      </c>
      <c r="O554" s="7">
        <v>172830.32</v>
      </c>
      <c r="P554" s="7">
        <v>124747.158641</v>
      </c>
      <c r="Q554" s="7">
        <v>0</v>
      </c>
      <c r="R554" s="7">
        <v>27.82</v>
      </c>
      <c r="S554" s="7">
        <v>24</v>
      </c>
      <c r="T554" s="7">
        <v>20</v>
      </c>
      <c r="U554" s="7">
        <v>13</v>
      </c>
      <c r="V554" s="7">
        <v>179</v>
      </c>
      <c r="W554" s="7">
        <v>8.7799999999999994</v>
      </c>
      <c r="X554" s="7">
        <v>32500</v>
      </c>
      <c r="Y554" s="7">
        <v>0</v>
      </c>
      <c r="Z554" s="7">
        <v>1</v>
      </c>
      <c r="AA554" s="7">
        <v>22.48</v>
      </c>
      <c r="AB554" s="7">
        <v>1654</v>
      </c>
      <c r="AC554" s="7">
        <v>510000</v>
      </c>
      <c r="AD554" s="7">
        <v>331500</v>
      </c>
      <c r="AE554" s="7">
        <v>172830.32</v>
      </c>
      <c r="AF554" s="7">
        <v>182</v>
      </c>
      <c r="AG554" s="7">
        <v>112</v>
      </c>
      <c r="AH554" s="12">
        <v>280</v>
      </c>
    </row>
    <row r="555" spans="1:34" ht="21" hidden="1" x14ac:dyDescent="0.25">
      <c r="A555" s="11">
        <v>4</v>
      </c>
      <c r="B555" s="8" t="s">
        <v>15</v>
      </c>
      <c r="C555" s="7">
        <v>1616</v>
      </c>
      <c r="D555" s="8" t="s">
        <v>154</v>
      </c>
      <c r="E555" s="8" t="s">
        <v>169</v>
      </c>
      <c r="F555" s="8" t="s">
        <v>12</v>
      </c>
      <c r="G555" s="7">
        <v>50000</v>
      </c>
      <c r="H555" s="7">
        <v>40</v>
      </c>
      <c r="I555" s="7">
        <v>26</v>
      </c>
      <c r="J555" s="7">
        <v>24452.11</v>
      </c>
      <c r="K555" s="7">
        <v>17823.357456999998</v>
      </c>
      <c r="L555" s="7">
        <v>0</v>
      </c>
      <c r="M555" s="7">
        <v>27.11</v>
      </c>
      <c r="N555" s="7">
        <v>21.47</v>
      </c>
      <c r="O555" s="7">
        <v>245224.17</v>
      </c>
      <c r="P555" s="7">
        <v>179460.27632199999</v>
      </c>
      <c r="Q555" s="7">
        <v>0</v>
      </c>
      <c r="R555" s="7">
        <v>26.82</v>
      </c>
      <c r="S555" s="7">
        <v>30</v>
      </c>
      <c r="T555" s="7">
        <v>20</v>
      </c>
      <c r="U555" s="7">
        <v>13</v>
      </c>
      <c r="V555" s="7">
        <v>309</v>
      </c>
      <c r="W555" s="7">
        <v>13.58</v>
      </c>
      <c r="X555" s="7">
        <v>32500</v>
      </c>
      <c r="Y555" s="7">
        <v>82.92</v>
      </c>
      <c r="Z555" s="7">
        <v>1</v>
      </c>
      <c r="AA555" s="7">
        <v>23.55</v>
      </c>
      <c r="AB555" s="7">
        <v>1654</v>
      </c>
      <c r="AC555" s="7">
        <v>639000</v>
      </c>
      <c r="AD555" s="7">
        <v>415350</v>
      </c>
      <c r="AE555" s="7">
        <v>245224.17</v>
      </c>
      <c r="AF555" s="7">
        <v>275</v>
      </c>
      <c r="AG555" s="7">
        <v>192</v>
      </c>
      <c r="AH555" s="12">
        <v>423</v>
      </c>
    </row>
    <row r="556" spans="1:34" ht="21" hidden="1" x14ac:dyDescent="0.25">
      <c r="A556" s="11">
        <v>6</v>
      </c>
      <c r="B556" s="8" t="s">
        <v>142</v>
      </c>
      <c r="C556" s="7">
        <v>1617</v>
      </c>
      <c r="D556" s="8" t="s">
        <v>170</v>
      </c>
      <c r="E556" s="8" t="s">
        <v>169</v>
      </c>
      <c r="F556" s="8" t="s">
        <v>12</v>
      </c>
      <c r="G556" s="7">
        <v>69000</v>
      </c>
      <c r="H556" s="7">
        <v>62</v>
      </c>
      <c r="I556" s="7">
        <v>41</v>
      </c>
      <c r="J556" s="7">
        <v>31879.97</v>
      </c>
      <c r="K556" s="7">
        <v>23606.726944999999</v>
      </c>
      <c r="L556" s="7">
        <v>0</v>
      </c>
      <c r="M556" s="7">
        <v>25.95</v>
      </c>
      <c r="N556" s="7">
        <v>21.72</v>
      </c>
      <c r="O556" s="7">
        <v>366742.08</v>
      </c>
      <c r="P556" s="7">
        <v>279745.02127199998</v>
      </c>
      <c r="Q556" s="7">
        <v>0</v>
      </c>
      <c r="R556" s="7">
        <v>23.72</v>
      </c>
      <c r="S556" s="7">
        <v>37</v>
      </c>
      <c r="T556" s="7">
        <v>20</v>
      </c>
      <c r="U556" s="7">
        <v>13</v>
      </c>
      <c r="V556" s="7">
        <v>285</v>
      </c>
      <c r="W556" s="7">
        <v>12.42</v>
      </c>
      <c r="X556" s="7">
        <v>44850</v>
      </c>
      <c r="Y556" s="7">
        <v>0</v>
      </c>
      <c r="Z556" s="7">
        <v>7</v>
      </c>
      <c r="AA556" s="7">
        <v>18.899999999999999</v>
      </c>
      <c r="AB556" s="7">
        <v>1654</v>
      </c>
      <c r="AC556" s="7">
        <v>842000</v>
      </c>
      <c r="AD556" s="7">
        <v>547300</v>
      </c>
      <c r="AE556" s="7">
        <v>366742.08</v>
      </c>
      <c r="AF556" s="7">
        <v>507</v>
      </c>
      <c r="AG556" s="7">
        <v>357</v>
      </c>
      <c r="AH556" s="12">
        <v>780</v>
      </c>
    </row>
    <row r="557" spans="1:34" ht="21" hidden="1" x14ac:dyDescent="0.25">
      <c r="A557" s="11">
        <v>4</v>
      </c>
      <c r="B557" s="8" t="s">
        <v>15</v>
      </c>
      <c r="C557" s="7">
        <v>1618</v>
      </c>
      <c r="D557" s="8" t="s">
        <v>171</v>
      </c>
      <c r="E557" s="8" t="s">
        <v>169</v>
      </c>
      <c r="F557" s="8" t="s">
        <v>12</v>
      </c>
      <c r="G557" s="7">
        <v>45000</v>
      </c>
      <c r="H557" s="7">
        <v>1</v>
      </c>
      <c r="I557" s="7">
        <v>1</v>
      </c>
      <c r="J557" s="7">
        <v>23415.34</v>
      </c>
      <c r="K557" s="7">
        <v>17207.563098999999</v>
      </c>
      <c r="L557" s="7">
        <v>0</v>
      </c>
      <c r="M557" s="7">
        <v>26.51</v>
      </c>
      <c r="N557" s="7">
        <v>27.43</v>
      </c>
      <c r="O557" s="7">
        <v>245224.17</v>
      </c>
      <c r="P557" s="7">
        <v>179460.27632199999</v>
      </c>
      <c r="Q557" s="7">
        <v>0</v>
      </c>
      <c r="R557" s="7">
        <v>26.82</v>
      </c>
      <c r="S557" s="7">
        <v>1</v>
      </c>
      <c r="T557" s="7">
        <v>20</v>
      </c>
      <c r="U557" s="7">
        <v>13</v>
      </c>
      <c r="V557" s="7">
        <v>49</v>
      </c>
      <c r="W557" s="7">
        <v>25</v>
      </c>
      <c r="X557" s="7">
        <v>29250</v>
      </c>
      <c r="Y557" s="7">
        <v>0</v>
      </c>
      <c r="Z557" s="7">
        <v>0</v>
      </c>
      <c r="AA557" s="7">
        <v>23.55</v>
      </c>
      <c r="AB557" s="7">
        <v>1654</v>
      </c>
      <c r="AC557" s="7">
        <v>639000</v>
      </c>
      <c r="AD557" s="7">
        <v>415350</v>
      </c>
      <c r="AE557" s="7">
        <v>245224.17</v>
      </c>
      <c r="AF557" s="7">
        <v>275</v>
      </c>
      <c r="AG557" s="7">
        <v>192</v>
      </c>
      <c r="AH557" s="12">
        <v>423</v>
      </c>
    </row>
    <row r="558" spans="1:34" ht="21" hidden="1" x14ac:dyDescent="0.25">
      <c r="A558" s="11">
        <v>12</v>
      </c>
      <c r="B558" s="8" t="s">
        <v>14</v>
      </c>
      <c r="C558" s="7">
        <v>1619</v>
      </c>
      <c r="D558" s="8" t="s">
        <v>172</v>
      </c>
      <c r="E558" s="8" t="s">
        <v>169</v>
      </c>
      <c r="F558" s="8" t="s">
        <v>12</v>
      </c>
      <c r="G558" s="7">
        <v>70000</v>
      </c>
      <c r="H558" s="7">
        <v>65</v>
      </c>
      <c r="I558" s="7">
        <v>43</v>
      </c>
      <c r="J558" s="7">
        <v>13919.71</v>
      </c>
      <c r="K558" s="7">
        <v>10754.972997000001</v>
      </c>
      <c r="L558" s="7">
        <v>0</v>
      </c>
      <c r="M558" s="7">
        <v>22.74</v>
      </c>
      <c r="N558" s="7">
        <v>5.05</v>
      </c>
      <c r="O558" s="7">
        <v>194596.38</v>
      </c>
      <c r="P558" s="7">
        <v>150209.46789699999</v>
      </c>
      <c r="Q558" s="7">
        <v>0</v>
      </c>
      <c r="R558" s="7">
        <v>22.81</v>
      </c>
      <c r="S558" s="7">
        <v>19</v>
      </c>
      <c r="T558" s="7">
        <v>20</v>
      </c>
      <c r="U558" s="7">
        <v>13</v>
      </c>
      <c r="V558" s="7">
        <v>130</v>
      </c>
      <c r="W558" s="7">
        <v>8.27</v>
      </c>
      <c r="X558" s="7">
        <v>45500</v>
      </c>
      <c r="Y558" s="7">
        <v>0</v>
      </c>
      <c r="Z558" s="7">
        <v>1</v>
      </c>
      <c r="AA558" s="7">
        <v>15.87</v>
      </c>
      <c r="AB558" s="7">
        <v>1654</v>
      </c>
      <c r="AC558" s="7">
        <v>634000</v>
      </c>
      <c r="AD558" s="7">
        <v>412100</v>
      </c>
      <c r="AE558" s="7">
        <v>194596.38</v>
      </c>
      <c r="AF558" s="7">
        <v>446</v>
      </c>
      <c r="AG558" s="7">
        <v>277</v>
      </c>
      <c r="AH558" s="12">
        <v>685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D08F-177F-4CE6-A496-CBE010928E28}">
  <sheetPr codeName="Planilha2"/>
  <dimension ref="A3:AL17"/>
  <sheetViews>
    <sheetView zoomScale="80" zoomScaleNormal="80" workbookViewId="0">
      <selection activeCell="A15" sqref="A15"/>
    </sheetView>
  </sheetViews>
  <sheetFormatPr defaultRowHeight="15" x14ac:dyDescent="0.25"/>
  <cols>
    <col min="1" max="1" width="21.5703125" bestFit="1" customWidth="1"/>
    <col min="2" max="2" width="36" bestFit="1" customWidth="1"/>
    <col min="3" max="3" width="35.28515625" bestFit="1" customWidth="1"/>
    <col min="4" max="4" width="49.140625" bestFit="1" customWidth="1"/>
    <col min="5" max="5" width="35.28515625" bestFit="1" customWidth="1"/>
    <col min="6" max="6" width="13.5703125" bestFit="1" customWidth="1"/>
    <col min="7" max="7" width="35.5703125" bestFit="1" customWidth="1"/>
    <col min="8" max="8" width="31.7109375" bestFit="1" customWidth="1"/>
    <col min="9" max="9" width="37" bestFit="1" customWidth="1"/>
    <col min="10" max="10" width="27.85546875" bestFit="1" customWidth="1"/>
    <col min="11" max="11" width="44.5703125" bestFit="1" customWidth="1"/>
    <col min="12" max="12" width="23.42578125" bestFit="1" customWidth="1"/>
    <col min="13" max="13" width="20.140625" bestFit="1" customWidth="1"/>
    <col min="14" max="14" width="29.42578125" bestFit="1" customWidth="1"/>
    <col min="15" max="15" width="38.140625" bestFit="1" customWidth="1"/>
    <col min="16" max="16" width="13.7109375" bestFit="1" customWidth="1"/>
    <col min="17" max="17" width="37" bestFit="1" customWidth="1"/>
    <col min="18" max="18" width="33.140625" bestFit="1" customWidth="1"/>
    <col min="19" max="19" width="25.140625" bestFit="1" customWidth="1"/>
    <col min="20" max="20" width="34.140625" bestFit="1" customWidth="1"/>
    <col min="21" max="21" width="46.42578125" bestFit="1" customWidth="1"/>
    <col min="22" max="22" width="21" bestFit="1" customWidth="1"/>
    <col min="23" max="23" width="13.5703125" bestFit="1" customWidth="1"/>
    <col min="24" max="24" width="15.42578125" bestFit="1" customWidth="1"/>
    <col min="25" max="25" width="20.140625" bestFit="1" customWidth="1"/>
    <col min="26" max="26" width="17.42578125" bestFit="1" customWidth="1"/>
    <col min="27" max="27" width="8" customWidth="1"/>
    <col min="38" max="38" width="89.42578125" bestFit="1" customWidth="1"/>
  </cols>
  <sheetData>
    <row r="3" spans="1:38" x14ac:dyDescent="0.25">
      <c r="A3" s="1" t="s">
        <v>20</v>
      </c>
      <c r="B3" t="s">
        <v>176</v>
      </c>
      <c r="C3" t="s">
        <v>177</v>
      </c>
      <c r="D3" t="s">
        <v>178</v>
      </c>
      <c r="E3" t="s">
        <v>179</v>
      </c>
      <c r="F3" t="s">
        <v>25</v>
      </c>
      <c r="G3" t="s">
        <v>21</v>
      </c>
      <c r="H3" t="s">
        <v>41</v>
      </c>
      <c r="I3" t="s">
        <v>141</v>
      </c>
      <c r="J3" t="s">
        <v>174</v>
      </c>
      <c r="K3" t="s">
        <v>175</v>
      </c>
      <c r="L3" s="3" t="s">
        <v>176</v>
      </c>
      <c r="M3" s="3" t="s">
        <v>177</v>
      </c>
      <c r="N3" s="3" t="s">
        <v>178</v>
      </c>
      <c r="O3" s="3" t="s">
        <v>179</v>
      </c>
      <c r="P3" s="3" t="s">
        <v>25</v>
      </c>
      <c r="Q3" s="3" t="s">
        <v>21</v>
      </c>
      <c r="R3" s="3" t="s">
        <v>41</v>
      </c>
      <c r="S3" s="3" t="s">
        <v>141</v>
      </c>
      <c r="T3" s="3" t="s">
        <v>174</v>
      </c>
      <c r="U3" s="3" t="s">
        <v>175</v>
      </c>
      <c r="V3" s="3"/>
      <c r="W3" s="3"/>
      <c r="X3" s="3"/>
      <c r="Y3" s="3"/>
      <c r="Z3" s="3"/>
      <c r="AA3" s="3"/>
    </row>
    <row r="4" spans="1:38" x14ac:dyDescent="0.25">
      <c r="A4" s="2" t="s">
        <v>10</v>
      </c>
      <c r="B4" s="23">
        <v>1000000</v>
      </c>
      <c r="C4" s="23">
        <v>488596.11000000004</v>
      </c>
      <c r="D4" s="14">
        <v>675</v>
      </c>
      <c r="E4" s="14">
        <v>312</v>
      </c>
      <c r="F4" s="13">
        <v>223.07692307692307</v>
      </c>
      <c r="G4" s="13">
        <v>161.25</v>
      </c>
      <c r="H4" s="20">
        <v>24.199999999999992</v>
      </c>
      <c r="I4" s="14">
        <v>23.050000000000008</v>
      </c>
      <c r="J4" s="22">
        <v>6</v>
      </c>
      <c r="K4" s="22">
        <v>1654</v>
      </c>
      <c r="L4" s="24">
        <f>SUM(B4:B100000)</f>
        <v>5490000</v>
      </c>
      <c r="M4" s="24">
        <f t="shared" ref="M4:T4" si="0">SUM(C4:C100000)</f>
        <v>2356487.2199999997</v>
      </c>
      <c r="N4" s="5">
        <f>SUM(D4:D100000)</f>
        <v>4067</v>
      </c>
      <c r="O4" s="5">
        <f>SUM(E4:E100000)</f>
        <v>1894</v>
      </c>
      <c r="P4" s="5">
        <f t="shared" si="0"/>
        <v>1485.751526251526</v>
      </c>
      <c r="Q4" s="5">
        <f>AVERAGE(G4:G100000)</f>
        <v>111.25</v>
      </c>
      <c r="R4" s="4">
        <f>AVERAGE(H4:H100000)</f>
        <v>24.053749999999997</v>
      </c>
      <c r="S4" s="4">
        <f>AVERAGE(I4:I100000)</f>
        <v>23.84</v>
      </c>
      <c r="T4" s="5">
        <f t="shared" si="0"/>
        <v>44</v>
      </c>
      <c r="U4" s="5">
        <f>AVERAGE(K4:K100000)</f>
        <v>1654</v>
      </c>
      <c r="V4" s="4"/>
      <c r="W4" s="5"/>
      <c r="X4" s="4"/>
      <c r="Y4" s="5"/>
      <c r="Z4" s="5"/>
      <c r="AA4" s="4"/>
      <c r="AJ4" t="s">
        <v>26</v>
      </c>
      <c r="AK4" t="s">
        <v>26</v>
      </c>
      <c r="AL4" s="4" t="s">
        <v>26</v>
      </c>
    </row>
    <row r="5" spans="1:38" x14ac:dyDescent="0.25">
      <c r="A5" s="2" t="s">
        <v>13</v>
      </c>
      <c r="B5" s="23">
        <v>790000</v>
      </c>
      <c r="C5" s="23">
        <v>402890.95000000013</v>
      </c>
      <c r="D5" s="14">
        <v>584</v>
      </c>
      <c r="E5" s="14">
        <v>299</v>
      </c>
      <c r="F5" s="13">
        <v>189.38461538461539</v>
      </c>
      <c r="G5" s="13">
        <v>141.55000000000001</v>
      </c>
      <c r="H5" s="20">
        <v>22.6</v>
      </c>
      <c r="I5" s="14">
        <v>28.259999999999994</v>
      </c>
      <c r="J5" s="22">
        <v>6</v>
      </c>
      <c r="K5" s="22">
        <v>1654</v>
      </c>
      <c r="L5" s="21"/>
      <c r="M5" s="21"/>
    </row>
    <row r="6" spans="1:38" x14ac:dyDescent="0.25">
      <c r="A6" s="2" t="s">
        <v>142</v>
      </c>
      <c r="B6" s="23">
        <v>842000</v>
      </c>
      <c r="C6" s="23">
        <v>366742.08</v>
      </c>
      <c r="D6" s="14">
        <v>780</v>
      </c>
      <c r="E6" s="14">
        <v>357</v>
      </c>
      <c r="F6" s="13">
        <v>183.61538461538461</v>
      </c>
      <c r="G6" s="13">
        <v>130.76</v>
      </c>
      <c r="H6" s="20">
        <v>23.720000000000002</v>
      </c>
      <c r="I6" s="14">
        <v>18.900000000000002</v>
      </c>
      <c r="J6" s="22">
        <v>12</v>
      </c>
      <c r="K6" s="22">
        <v>1654</v>
      </c>
      <c r="L6" s="21"/>
      <c r="M6" s="21"/>
    </row>
    <row r="7" spans="1:38" x14ac:dyDescent="0.25">
      <c r="A7" s="2" t="s">
        <v>180</v>
      </c>
      <c r="B7" s="23">
        <v>743000</v>
      </c>
      <c r="C7" s="23">
        <v>332009.37999999995</v>
      </c>
      <c r="D7" s="14">
        <v>540</v>
      </c>
      <c r="E7" s="14">
        <v>266</v>
      </c>
      <c r="F7" s="13">
        <v>235.55555555555554</v>
      </c>
      <c r="G7" s="13">
        <v>99.17</v>
      </c>
      <c r="H7" s="20">
        <v>23.83</v>
      </c>
      <c r="I7" s="14">
        <v>23.569999999999997</v>
      </c>
      <c r="J7" s="22">
        <v>4</v>
      </c>
      <c r="K7" s="22">
        <v>1654</v>
      </c>
      <c r="L7" s="21"/>
      <c r="M7" s="21"/>
    </row>
    <row r="8" spans="1:38" x14ac:dyDescent="0.25">
      <c r="A8" s="2" t="s">
        <v>15</v>
      </c>
      <c r="B8" s="23">
        <v>639000</v>
      </c>
      <c r="C8" s="23">
        <v>245224.16999999998</v>
      </c>
      <c r="D8" s="14">
        <v>423</v>
      </c>
      <c r="E8" s="14">
        <v>192</v>
      </c>
      <c r="F8" s="13">
        <v>255</v>
      </c>
      <c r="G8" s="13">
        <v>104.28999999999999</v>
      </c>
      <c r="H8" s="20">
        <v>26.819999999999997</v>
      </c>
      <c r="I8" s="14">
        <v>23.550000000000004</v>
      </c>
      <c r="J8" s="22">
        <v>6</v>
      </c>
      <c r="K8" s="22">
        <v>1654</v>
      </c>
      <c r="L8" s="21"/>
      <c r="M8" s="21"/>
    </row>
    <row r="9" spans="1:38" x14ac:dyDescent="0.25">
      <c r="A9" s="2" t="s">
        <v>14</v>
      </c>
      <c r="B9" s="23">
        <v>634000</v>
      </c>
      <c r="C9" s="23">
        <v>194596.37999999998</v>
      </c>
      <c r="D9" s="14">
        <v>685</v>
      </c>
      <c r="E9" s="14">
        <v>277</v>
      </c>
      <c r="F9" s="13">
        <v>124.33333333333333</v>
      </c>
      <c r="G9" s="13">
        <v>87.39</v>
      </c>
      <c r="H9" s="20">
        <v>22.81</v>
      </c>
      <c r="I9" s="14">
        <v>15.870000000000003</v>
      </c>
      <c r="J9" s="22">
        <v>4</v>
      </c>
      <c r="K9" s="22">
        <v>1654</v>
      </c>
      <c r="L9" s="21"/>
      <c r="M9" s="21"/>
    </row>
    <row r="10" spans="1:38" x14ac:dyDescent="0.25">
      <c r="A10" s="2" t="s">
        <v>16</v>
      </c>
      <c r="B10" s="23">
        <v>510000</v>
      </c>
      <c r="C10" s="23">
        <v>172830.32000000004</v>
      </c>
      <c r="D10" s="14">
        <v>280</v>
      </c>
      <c r="E10" s="14">
        <v>112</v>
      </c>
      <c r="F10" s="13">
        <v>165.28571428571428</v>
      </c>
      <c r="G10" s="13">
        <v>143.07000000000002</v>
      </c>
      <c r="H10" s="20">
        <v>27.819999999999997</v>
      </c>
      <c r="I10" s="14">
        <v>22.479999999999997</v>
      </c>
      <c r="J10" s="22">
        <v>5</v>
      </c>
      <c r="K10" s="22">
        <v>1654</v>
      </c>
      <c r="L10" s="21"/>
      <c r="M10" s="21"/>
    </row>
    <row r="11" spans="1:38" x14ac:dyDescent="0.25">
      <c r="A11" s="2" t="s">
        <v>143</v>
      </c>
      <c r="B11" s="23">
        <v>332000</v>
      </c>
      <c r="C11" s="23">
        <v>153597.82999999999</v>
      </c>
      <c r="D11" s="14">
        <v>100</v>
      </c>
      <c r="E11" s="14">
        <v>79</v>
      </c>
      <c r="F11" s="13">
        <v>109.5</v>
      </c>
      <c r="G11" s="13">
        <v>22.52</v>
      </c>
      <c r="H11" s="20">
        <v>20.63</v>
      </c>
      <c r="I11" s="14">
        <v>35.04</v>
      </c>
      <c r="J11" s="22">
        <v>1</v>
      </c>
      <c r="K11" s="22">
        <v>1654</v>
      </c>
      <c r="L11" s="21"/>
      <c r="M11" s="21"/>
    </row>
    <row r="12" spans="1:38" x14ac:dyDescent="0.25">
      <c r="L12" s="21"/>
      <c r="M12" s="21"/>
    </row>
    <row r="16" spans="1:38" x14ac:dyDescent="0.25">
      <c r="AL16" s="5"/>
    </row>
    <row r="17" spans="38:38" x14ac:dyDescent="0.25">
      <c r="AL17" s="5">
        <f>IF(AL4=" ", U4, O4)</f>
        <v>1654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F48C-1A8B-4A55-B08F-FA57A1A949F7}">
  <sheetPr codeName="Planilha3">
    <tabColor rgb="FF0A1120"/>
    <pageSetUpPr fitToPage="1"/>
  </sheetPr>
  <dimension ref="N62"/>
  <sheetViews>
    <sheetView showGridLines="0" tabSelected="1" zoomScale="70" zoomScaleNormal="70" workbookViewId="0">
      <selection activeCell="R57" sqref="R57"/>
    </sheetView>
  </sheetViews>
  <sheetFormatPr defaultRowHeight="15" x14ac:dyDescent="0.25"/>
  <sheetData>
    <row r="62" spans="14:14" x14ac:dyDescent="0.25">
      <c r="N62" s="6"/>
    </row>
  </sheetData>
  <pageMargins left="0.511811024" right="0.511811024" top="0.78740157499999996" bottom="0.78740157499999996" header="0.31496062000000002" footer="0.31496062000000002"/>
  <pageSetup paperSize="9" scale="42" orientation="landscape" horizontalDpi="0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TBL_COORDENADOR</vt:lpstr>
      <vt:lpstr>DASHBOARD SUPERVISOR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Comercial02</dc:creator>
  <cp:lastModifiedBy>Comercial02</cp:lastModifiedBy>
  <cp:lastPrinted>2025-04-04T14:07:23Z</cp:lastPrinted>
  <dcterms:created xsi:type="dcterms:W3CDTF">2025-04-01T14:08:57Z</dcterms:created>
  <dcterms:modified xsi:type="dcterms:W3CDTF">2025-06-19T18:35:36Z</dcterms:modified>
</cp:coreProperties>
</file>